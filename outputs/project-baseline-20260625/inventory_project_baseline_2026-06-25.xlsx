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3"/>
  </bookViews>
  <sheets>
    <sheet name="00_项目总览" sheetId="1" r:id="rId1"/>
    <sheet name="01_项目概述" sheetId="2" r:id="rId2"/>
    <sheet name="02_核心流程" sheetId="3" r:id="rId3"/>
    <sheet name="03_功能清单" sheetId="4" r:id="rId4"/>
    <sheet name="04_产品规则" sheetId="5" r:id="rId5"/>
    <sheet name="05_系统架构" sheetId="6" r:id="rId6"/>
    <sheet name="06_数据字典" sheetId="7" r:id="rId7"/>
    <sheet name="07_运行手册" sheetId="8" r:id="rId8"/>
    <sheet name="08_验收矩阵" sheetId="9" r:id="rId9"/>
    <sheet name="09_风险清单" sheetId="10" r:id="rId10"/>
    <sheet name="10_版本路线图" sheetId="11" r:id="rId11"/>
    <sheet name="11_证据口径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<sst xmlns="http://schemas.openxmlformats.org/spreadsheetml/2006/main" count="1775" uniqueCount="1221">
  <si>
    <t>项目全景基线</t>
  </si>
  <si>
    <t>2026-06-25｜目标：让项目可理解、可验证、可接管</t>
  </si>
  <si>
    <t>项目定位</t>
  </si>
  <si>
    <t>基线结论</t>
  </si>
  <si>
    <t>规模</t>
  </si>
  <si>
    <t>核心判断</t>
  </si>
  <si>
    <t>仓库记账 + OZON 跨境电商运营的一体化 Flask 系统。库存主流程已有真实数据；OZON 与 AI 图片链路正处于开发、联调和试运行阶段。</t>
  </si>
  <si>
    <t>系统“有功能”但尚未“可放心接管”。当前最优先不是继续扩功能，而是修复运行环境、备份恢复、Mock 文案、自动化测试与测试店发布证据。</t>
  </si>
  <si>
    <t>192 路由｜62 模型类｜61 数据表｜61 模板
SQLite 约 481MB｜本地领先远端 32 提交</t>
  </si>
  <si>
    <t>P0 风险集中在：无法按文档启动、备份不可证明、AI 文案仍 Mock、零自动化测试、AI 结果与 OZON 写操作缺少真实闭环验收。</t>
  </si>
  <si>
    <t>功能状态（公式取自 03_功能清单）</t>
  </si>
  <si>
    <t>风险级别（公式取自 09_风险清单）</t>
  </si>
  <si>
    <t>状态</t>
  </si>
  <si>
    <t>数量</t>
  </si>
  <si>
    <t>级别</t>
  </si>
  <si>
    <t>可用</t>
  </si>
  <si>
    <t>P0</t>
  </si>
  <si>
    <t>待验证</t>
  </si>
  <si>
    <t>P1</t>
  </si>
  <si>
    <t>开发中</t>
  </si>
  <si>
    <t>P2</t>
  </si>
  <si>
    <t>有缺陷</t>
  </si>
  <si>
    <t>P3</t>
  </si>
  <si>
    <t>未开始</t>
  </si>
  <si>
    <t>暂停</t>
  </si>
  <si>
    <t>废弃</t>
  </si>
  <si>
    <t>下一步最应该做什么</t>
  </si>
  <si>
    <t>顺序</t>
  </si>
  <si>
    <t>任务</t>
  </si>
  <si>
    <t>为什么现在做</t>
  </si>
  <si>
    <t>完成标志</t>
  </si>
  <si>
    <t/>
  </si>
  <si>
    <t>1</t>
  </si>
  <si>
    <t>重建 Python 环境并修正启动/停止脚本</t>
  </si>
  <si>
    <t>当前无法按仓库说明运行，所有验证都失去基础</t>
  </si>
  <si>
    <t>干净环境可启动 Flask 与 Waitress</t>
  </si>
  <si>
    <t>2</t>
  </si>
  <si>
    <t>做数据库+图片一致性备份和恢复演练</t>
  </si>
  <si>
    <t>481MB 真实业务数据是最大资产</t>
  </si>
  <si>
    <t>异机恢复后登录、库存、OZON 页面与图片可用</t>
  </si>
  <si>
    <t>3</t>
  </si>
  <si>
    <t>建立 P0 自动化测试与双用户隔离测试</t>
  </si>
  <si>
    <t>192 条路由靠人工无法安全回归</t>
  </si>
  <si>
    <t>核心库存、权限、发布门禁测试可重复运行</t>
  </si>
  <si>
    <t>4</t>
  </si>
  <si>
    <t>替换 Mock 文案并收口母图 V3.2</t>
  </si>
  <si>
    <t>AI 结果正确性是后续发布的前提</t>
  </si>
  <si>
    <t>文案可追溯；50 张抠图样本达到验收指标</t>
  </si>
  <si>
    <t>5</t>
  </si>
  <si>
    <t>完成 Seedream 与 OZON 测试店真实闭环</t>
  </si>
  <si>
    <t>用真实外部结果决定系统是否可试运行</t>
  </si>
  <si>
    <t>候选图有参考图证据；PublishJob 有成功 task_id</t>
  </si>
  <si>
    <t>项目概述</t>
  </si>
  <si>
    <t>项目现状基线：2026-06-25｜结论以代码、数据库、Git 与本地验证为依据</t>
  </si>
  <si>
    <t>主题</t>
  </si>
  <si>
    <t>当前结论</t>
  </si>
  <si>
    <t>证据类型</t>
  </si>
  <si>
    <t>备注</t>
  </si>
  <si>
    <t>项目名称</t>
  </si>
  <si>
    <t>仓库记账与 OZON 跨境电商运营系统</t>
  </si>
  <si>
    <t>事实</t>
  </si>
  <si>
    <t>G:\inventory</t>
  </si>
  <si>
    <t>目标用户</t>
  </si>
  <si>
    <t>仓库/采购/销售/财务人员；OZON 跨境电商运营人员</t>
  </si>
  <si>
    <t>推断+现有页面</t>
  </si>
  <si>
    <t>多角色权限尚未系统化</t>
  </si>
  <si>
    <t>核心问题</t>
  </si>
  <si>
    <t>统一管理库存、采购、销售、退款、报表，并将国内商品资料加工为可审核、可发布的 OZON 商品资料</t>
  </si>
  <si>
    <t>代码+产品文档</t>
  </si>
  <si>
    <t>当前两个业务域耦合在同一 Flask 应用</t>
  </si>
  <si>
    <t>核心价值</t>
  </si>
  <si>
    <t>减少人工记账与重复录入；沉淀商品事实、图片、类目属性和发布任务；保留人工审核门禁</t>
  </si>
  <si>
    <t>代码+数据模型</t>
  </si>
  <si>
    <t>AI 结果仍需人工负责</t>
  </si>
  <si>
    <t>当前阶段</t>
  </si>
  <si>
    <t>仓库主流程处于使用/维护期；OZON 处于开发与试运行并行期；AI 生图与母图抠图处于快速迭代、待系统验收期</t>
  </si>
  <si>
    <t>综合判断</t>
  </si>
  <si>
    <t>不是正式稳定运营基线</t>
  </si>
  <si>
    <t>明确不应做</t>
  </si>
  <si>
    <t>未经人工确认直接发布；把视觉模型 bbox 当精确分割边界；用 Mock 文案冒充真实 AI 结果；在正式店直接试验高风险写操作</t>
  </si>
  <si>
    <t>规则建议</t>
  </si>
  <si>
    <t>应写入发布门禁</t>
  </si>
  <si>
    <t>规模快照</t>
  </si>
  <si>
    <t>192 条路由、24 个蓝图文件、61 个模板、62 个模型类、61 张业务表</t>
  </si>
  <si>
    <t>代码/数据库扫描</t>
  </si>
  <si>
    <t>OZON 蓝图单文件 109 条路由，体量集中</t>
  </si>
  <si>
    <t>数据快照</t>
  </si>
  <si>
    <t>data.db 约 481MB；类目属性值约 121.8 万条；类目属性约 21.9 万条</t>
  </si>
  <si>
    <t>SQLite 只读统计</t>
  </si>
  <si>
    <t>备份文件体积显著小于当前库，恢复有效性未证实</t>
  </si>
  <si>
    <t>测试快照</t>
  </si>
  <si>
    <t>自动化测试文件 0；关键流程依赖人工点击与日志</t>
  </si>
  <si>
    <t>文件扫描</t>
  </si>
  <si>
    <t>不能用“已实现”替代“已验收”</t>
  </si>
  <si>
    <t>版本状态</t>
  </si>
  <si>
    <t>main 比 origin/main 超前 32 个提交；存在已修改文件和大量未跟踪文件</t>
  </si>
  <si>
    <t>Git 状态</t>
  </si>
  <si>
    <t>远端并非完整灾备</t>
  </si>
  <si>
    <t>总体判断</t>
  </si>
  <si>
    <t>具备真实业务数据与较完整页面骨架，但可接管性、可验证性、备份恢复和 AI 正确性仍是主要短板</t>
  </si>
  <si>
    <t>审查结论</t>
  </si>
  <si>
    <t>建议先做基线与 P0 风险收口，再扩展新功能</t>
  </si>
  <si>
    <t>核心业务流程</t>
  </si>
  <si>
    <t>每一步明确操作者、输入、系统动作、输出与失败处理</t>
  </si>
  <si>
    <t>编号</t>
  </si>
  <si>
    <t>流程环节</t>
  </si>
  <si>
    <t>操作者</t>
  </si>
  <si>
    <t>输入</t>
  </si>
  <si>
    <t>系统动作</t>
  </si>
  <si>
    <t>输出</t>
  </si>
  <si>
    <t>失败与恢复</t>
  </si>
  <si>
    <t>A1</t>
  </si>
  <si>
    <t>仓库基础资料</t>
  </si>
  <si>
    <t>仓库管理员</t>
  </si>
  <si>
    <t>产品/客户/供应商信息</t>
  </si>
  <si>
    <t>创建与维护基础档案</t>
  </si>
  <si>
    <t>可供订单引用的主数据</t>
  </si>
  <si>
    <t>校验失败则提示；重复/跨用户数据需审查</t>
  </si>
  <si>
    <t>A2</t>
  </si>
  <si>
    <t>采购与入库</t>
  </si>
  <si>
    <t>采购/仓库</t>
  </si>
  <si>
    <t>供应商订单、收货数量、价格</t>
  </si>
  <si>
    <t>登记采购单与入库明细，更新缓存库存</t>
  </si>
  <si>
    <t>采购记录、库存增加、成本数据</t>
  </si>
  <si>
    <t>事务/库存回滚能力需验证</t>
  </si>
  <si>
    <t>A3</t>
  </si>
  <si>
    <t>客户订单与出库</t>
  </si>
  <si>
    <t>销售/仓库</t>
  </si>
  <si>
    <t>客户订单、发货数量</t>
  </si>
  <si>
    <t>创建客户订单和销售出库，更新库存</t>
  </si>
  <si>
    <t>出库单、库存减少、应收信息</t>
  </si>
  <si>
    <t>缺货、重复出库、删除回滚需验收</t>
  </si>
  <si>
    <t>A4</t>
  </si>
  <si>
    <t>拆包/组合</t>
  </si>
  <si>
    <t>规则、源产品、目标产品、数量</t>
  </si>
  <si>
    <t>按确认单消耗/产出库存并分摊成本</t>
  </si>
  <si>
    <t>拆分/组装单与新库存</t>
  </si>
  <si>
    <t>取消、成本守恒和并发需验证</t>
  </si>
  <si>
    <t>A5</t>
  </si>
  <si>
    <t>对账与报表</t>
  </si>
  <si>
    <t>财务/管理者</t>
  </si>
  <si>
    <t>日期区间、订单/收发数据</t>
  </si>
  <si>
    <t>按期初前、期末累计、本期差额聚合</t>
  </si>
  <si>
    <t>库存、经营、客户/供应商报表</t>
  </si>
  <si>
    <t>空结果、跨期、用户隔离需回归</t>
  </si>
  <si>
    <t>B1</t>
  </si>
  <si>
    <t>采集商品</t>
  </si>
  <si>
    <t>OZON 运营</t>
  </si>
  <si>
    <t>商品链接/页面/插件数据</t>
  </si>
  <si>
    <t>抓取页面并解析标题、SKU、图片、价格</t>
  </si>
  <si>
    <t>OzonSource、SKU、媒体记录</t>
  </si>
  <si>
    <t>反爬/JS 页面缺失时转人工补录</t>
  </si>
  <si>
    <t>B2</t>
  </si>
  <si>
    <t>事实整理</t>
  </si>
  <si>
    <t>OZON 运营+AI</t>
  </si>
  <si>
    <t>采集数据、图片证据</t>
  </si>
  <si>
    <t>形成商品事实、SKU事实、适配信息</t>
  </si>
  <si>
    <t>可审核的事实层</t>
  </si>
  <si>
    <t>AI 不确定项必须人工确认</t>
  </si>
  <si>
    <t>B3</t>
  </si>
  <si>
    <t>类目与属性</t>
  </si>
  <si>
    <t>商品事实、OZON 类目库</t>
  </si>
  <si>
    <t>选择 type，加载必填属性与字典</t>
  </si>
  <si>
    <t>类目绑定、属性 JSON</t>
  </si>
  <si>
    <t>类型/字典变更时重新同步</t>
  </si>
  <si>
    <t>B4</t>
  </si>
  <si>
    <t>图片识别与母图</t>
  </si>
  <si>
    <t>OZON 运营+视觉模型</t>
  </si>
  <si>
    <t>来源图片</t>
  </si>
  <si>
    <t>检测主商品/排除区域，目标级分割，生成透明 PNG</t>
  </si>
  <si>
    <t>待审核产品母图</t>
  </si>
  <si>
    <t>bbox 偏差时扩大搜索框/人工调整；禁止自动批准</t>
  </si>
  <si>
    <t>B5</t>
  </si>
  <si>
    <t>图片方案与生成</t>
  </si>
  <si>
    <t>OZON 运营+生图模型</t>
  </si>
  <si>
    <t>母图、参考图、卖点、槽位任务</t>
  </si>
  <si>
    <t>按槽位生成候选图并评分/选择</t>
  </si>
  <si>
    <t>8 槽位候选图与选用图</t>
  </si>
  <si>
    <t>无可靠参考图则阻断或降级 text_only 并警告</t>
  </si>
  <si>
    <t>B6</t>
  </si>
  <si>
    <t>商品文案</t>
  </si>
  <si>
    <t>商品事实、类目规则</t>
  </si>
  <si>
    <t>生成俄语标题/卖点/描述</t>
  </si>
  <si>
    <t>草稿文案</t>
  </si>
  <si>
    <t>当前旧 processing_generate 仍为 Mock，必须替换</t>
  </si>
  <si>
    <t>B7</t>
  </si>
  <si>
    <t>人工审核</t>
  </si>
  <si>
    <t>文案、属性、图片、价格</t>
  </si>
  <si>
    <t>执行阻断校验并人工确认</t>
  </si>
  <si>
    <t>approved 草稿</t>
  </si>
  <si>
    <t>任何必填缺失/图片未审核不得发布</t>
  </si>
  <si>
    <t>B8</t>
  </si>
  <si>
    <t>测试店发布</t>
  </si>
  <si>
    <t>approved 草稿、店铺凭证</t>
  </si>
  <si>
    <t>调用 OZON API，保存请求响应与 task_id</t>
  </si>
  <si>
    <t>发布任务与平台商品</t>
  </si>
  <si>
    <t>失败记录、重试；真实闭环尚缺数据库成功任务证据</t>
  </si>
  <si>
    <t>B9</t>
  </si>
  <si>
    <t>在线商品维护</t>
  </si>
  <si>
    <t>平台商品、价格/库存/内容变更</t>
  </si>
  <si>
    <t>同步详情、更新、归档/恢复</t>
  </si>
  <si>
    <t>在线商品快照和操作记录</t>
  </si>
  <si>
    <t>写操作必须先测试店验证并二次确认</t>
  </si>
  <si>
    <t>项目功能清单</t>
  </si>
  <si>
    <t>状态口径：只有有证据且可重复使用才标“可用”；未完成真实验证统一标“待验证”</t>
  </si>
  <si>
    <t>模块</t>
  </si>
  <si>
    <t>功能</t>
  </si>
  <si>
    <t>是否可用</t>
  </si>
  <si>
    <t>已知问题/证据</t>
  </si>
  <si>
    <t>优先级</t>
  </si>
  <si>
    <t>证据位置</t>
  </si>
  <si>
    <t>基础资料</t>
  </si>
  <si>
    <t>用户登录/退出</t>
  </si>
  <si>
    <t>是</t>
  </si>
  <si>
    <t>已注册认证蓝图与登录门禁；需补会话安全测试</t>
  </si>
  <si>
    <t>auth.py</t>
  </si>
  <si>
    <t>产品管理</t>
  </si>
  <si>
    <t>415 条产品数据；旧数据 user 可为空</t>
  </si>
  <si>
    <t>products.py / Product</t>
  </si>
  <si>
    <t>客户管理</t>
  </si>
  <si>
    <t>11 条客户数据；需验证跨用户隔离</t>
  </si>
  <si>
    <t>customers.py / Customer</t>
  </si>
  <si>
    <t>供应商管理</t>
  </si>
  <si>
    <t>当前仅 1 条供应商数据</t>
  </si>
  <si>
    <t>suppliers.py / Supplier</t>
  </si>
  <si>
    <t>采购库存</t>
  </si>
  <si>
    <t>供应商订单</t>
  </si>
  <si>
    <t>历史文档记录过明细编辑/删除 P0，需确认已回归</t>
  </si>
  <si>
    <t>supplier_orders.py</t>
  </si>
  <si>
    <t>采购入库</t>
  </si>
  <si>
    <t>41 单/43 明细；库存联动存在</t>
  </si>
  <si>
    <t>purchases.py</t>
  </si>
  <si>
    <t>客户订单</t>
  </si>
  <si>
    <t>18 单/31 明细</t>
  </si>
  <si>
    <t>orders.py</t>
  </si>
  <si>
    <t>销售出库</t>
  </si>
  <si>
    <t>22 单/37 明细；库存联动存在</t>
  </si>
  <si>
    <t>sales.py</t>
  </si>
  <si>
    <t>库存实时聚合与缓存</t>
  </si>
  <si>
    <t>部分</t>
  </si>
  <si>
    <t>Product.stock 为缓存，精确聚合另有 helper；一致性需审计</t>
  </si>
  <si>
    <t>models.py / helpers.py</t>
  </si>
  <si>
    <t>拆包规则与拆包单</t>
  </si>
  <si>
    <t>模型/路由存在，但订单数据为 0</t>
  </si>
  <si>
    <t>inventory_split.py</t>
  </si>
  <si>
    <t>组合规则与组合单</t>
  </si>
  <si>
    <t>规则有数据，订单数据为 0</t>
  </si>
  <si>
    <t>inventory_assembly.py</t>
  </si>
  <si>
    <t>财务报表</t>
  </si>
  <si>
    <t>客户退款</t>
  </si>
  <si>
    <t>4 条记录</t>
  </si>
  <si>
    <t>refunds.py</t>
  </si>
  <si>
    <t>客户资金流水</t>
  </si>
  <si>
    <t>表为空</t>
  </si>
  <si>
    <t>finance.py</t>
  </si>
  <si>
    <t>库存/经营报表</t>
  </si>
  <si>
    <t>路由存在，缺少自动化回归</t>
  </si>
  <si>
    <t>reports.py / home.py</t>
  </si>
  <si>
    <t>对账时段拆分</t>
  </si>
  <si>
    <t>跨 3 蓝图的日期逻辑复杂，需边界测试</t>
  </si>
  <si>
    <t>home/reports/supplier_orders</t>
  </si>
  <si>
    <t>系统工具</t>
  </si>
  <si>
    <t>数据导入导出</t>
  </si>
  <si>
    <t>路由存在，需验证大文件、重复与回滚</t>
  </si>
  <si>
    <t>data_io.py</t>
  </si>
  <si>
    <t>操作日志</t>
  </si>
  <si>
    <t>59 条记录；覆盖率是否完整未知</t>
  </si>
  <si>
    <t>OperationLog / logs.py</t>
  </si>
  <si>
    <t>汇率定时更新</t>
  </si>
  <si>
    <t>后台线程+锁；外部失败与重启恢复需测</t>
  </si>
  <si>
    <t>exchange_rate.py</t>
  </si>
  <si>
    <t>OZON采集</t>
  </si>
  <si>
    <t>商品链接采集</t>
  </si>
  <si>
    <t>49 个来源、487 SKU、1264 图片；平台反爬导致质量不稳定</t>
  </si>
  <si>
    <t>ozon_collector.py</t>
  </si>
  <si>
    <t>采集质量检查</t>
  </si>
  <si>
    <t>有 detail_missing/人工确认逻辑</t>
  </si>
  <si>
    <t>collect_quality_check</t>
  </si>
  <si>
    <t>商品回收站/软删除</t>
  </si>
  <si>
    <t>OzonSource 有 deleted_at；恢复路径需验收</t>
  </si>
  <si>
    <t>ozon.py</t>
  </si>
  <si>
    <t>事实层</t>
  </si>
  <si>
    <t>商品事实整理</t>
  </si>
  <si>
    <t>26 ProductFact、186 SKU事实；证据表为 0</t>
  </si>
  <si>
    <t>ProductFact*</t>
  </si>
  <si>
    <t>图片视觉事实</t>
  </si>
  <si>
    <t>53 ImageFact/18 任务，但通用 vision_tool 仍有 TODO</t>
  </si>
  <si>
    <t>vision_tool.py</t>
  </si>
  <si>
    <t>适配工作台</t>
  </si>
  <si>
    <t>商品分组与适配</t>
  </si>
  <si>
    <t>26 组，ListingAdaptation 仅 1 条</t>
  </si>
  <si>
    <t>ListingAdaptation</t>
  </si>
  <si>
    <t>类目属性</t>
  </si>
  <si>
    <t>类目树同步</t>
  </si>
  <si>
    <t>568 类目、7422 类型</t>
  </si>
  <si>
    <t>OzonCategory*</t>
  </si>
  <si>
    <t>属性与字典同步</t>
  </si>
  <si>
    <t>21.9 万属性、121.8 万字典值；库体积大</t>
  </si>
  <si>
    <t>OzonCategoryAttribute/Value</t>
  </si>
  <si>
    <t>type_id 过滤与去重</t>
  </si>
  <si>
    <t>近期修复，需做回归</t>
  </si>
  <si>
    <t>中文翻译展示</t>
  </si>
  <si>
    <t>value_cn 字段与展示逻辑存在</t>
  </si>
  <si>
    <t>OzonAttributeValue</t>
  </si>
  <si>
    <t>模型配置</t>
  </si>
  <si>
    <t>主模型配置</t>
  </si>
  <si>
    <t>DeepSeek/OpenAI 兼容配置存在</t>
  </si>
  <si>
    <t>VisionModelConfig / models page</t>
  </si>
  <si>
    <t>视觉模型配置与测试</t>
  </si>
  <si>
    <t>专用主体检测可调用；通用 vision_tool 仍是占位实现</t>
  </si>
  <si>
    <t>AI文案</t>
  </si>
  <si>
    <t>俄语标题/卖点/描述生成</t>
  </si>
  <si>
    <t>否</t>
  </si>
  <si>
    <t>processing_generate 明确写入 Mock 内容</t>
  </si>
  <si>
    <t>ozon.py:1817</t>
  </si>
  <si>
    <t>母图处理</t>
  </si>
  <si>
    <t>来源图片候选评分</t>
  </si>
  <si>
    <t>自动选择候选逻辑存在</t>
  </si>
  <si>
    <t>product_cutout.py</t>
  </si>
  <si>
    <t>视觉模型自动识别主商品</t>
  </si>
  <si>
    <t>11 条检测记录；bbox 仅适合作种子框</t>
  </si>
  <si>
    <t>product_subject_detector.py</t>
  </si>
  <si>
    <t>目标框拖拽/人工修正</t>
  </si>
  <si>
    <t>当前模板有 211 行未提交修改</t>
  </si>
  <si>
    <t>product_cutout.html</t>
  </si>
  <si>
    <t>目标级抠图</t>
  </si>
  <si>
    <t>V3.2 搜索框+连通域；仍需真实样本集验收</t>
  </si>
  <si>
    <t>透明 PNG 质量检查</t>
  </si>
  <si>
    <t>像素保持、残留、完整度、边缘评分已实现</t>
  </si>
  <si>
    <t>_check_cutout_quality_v2</t>
  </si>
  <si>
    <t>母图批准门禁</t>
  </si>
  <si>
    <t>服务端阻断存在，需覆盖异常分支</t>
  </si>
  <si>
    <t>product_cutout_approve</t>
  </si>
  <si>
    <t>图片生成</t>
  </si>
  <si>
    <t>槽位规划</t>
  </si>
  <si>
    <t>8 槽位存在；ImagePlan 表当前 0 条</t>
  </si>
  <si>
    <t>OzonImageSlot/Plan</t>
  </si>
  <si>
    <t>参考图自动选择</t>
  </si>
  <si>
    <t>会阻止 package 槽位误用主图</t>
  </si>
  <si>
    <t>ecommerce_image_reference.py</t>
  </si>
  <si>
    <t>Seedream 4.5 适配</t>
  </si>
  <si>
    <t>代码与配置存在；日志仍标记真实付费调用待确认</t>
  </si>
  <si>
    <t>image_generation.py</t>
  </si>
  <si>
    <t>多模型候选图生成</t>
  </si>
  <si>
    <t>31 候选图；缺少系统化质量对比</t>
  </si>
  <si>
    <t>OzonImageCandidate</t>
  </si>
  <si>
    <t>候选图评分与选用</t>
  </si>
  <si>
    <t>人工评分字段和选用路由存在</t>
  </si>
  <si>
    <t>image_plan.html / ozon.py</t>
  </si>
  <si>
    <t>自动视觉 QA</t>
  </si>
  <si>
    <t>auto_qa 字段存在，但专用 QA 服务未落地</t>
  </si>
  <si>
    <t>模型字段/日志</t>
  </si>
  <si>
    <t>刊登审核</t>
  </si>
  <si>
    <t>发布前校验</t>
  </si>
  <si>
    <t>必填属性与图片审核门禁存在</t>
  </si>
  <si>
    <t>listing_validate/approve</t>
  </si>
  <si>
    <t>人工审核通过</t>
  </si>
  <si>
    <t>approved 状态与阻断检查存在</t>
  </si>
  <si>
    <t>listing_approve</t>
  </si>
  <si>
    <t>OZON发布</t>
  </si>
  <si>
    <t>创建商品 API</t>
  </si>
  <si>
    <t>代码调用 /v3/product/import；发布任务表为 0</t>
  </si>
  <si>
    <t>ozon_api.py</t>
  </si>
  <si>
    <t>发布失败记录与重试</t>
  </si>
  <si>
    <t>异常分类/任务字段存在；无生产数据</t>
  </si>
  <si>
    <t>OzonPublishJob</t>
  </si>
  <si>
    <t>在线商品</t>
  </si>
  <si>
    <t>平台商品同步</t>
  </si>
  <si>
    <t>数据库已有 29 条在线商品</t>
  </si>
  <si>
    <t>online_products_sync</t>
  </si>
  <si>
    <t>价格/库存更新</t>
  </si>
  <si>
    <t>接口版本部分标注待实测确认</t>
  </si>
  <si>
    <t>内容/图片更新</t>
  </si>
  <si>
    <t>路由存在，需测试店验证</t>
  </si>
  <si>
    <t>归档/恢复</t>
  </si>
  <si>
    <t>高风险写操作，需二次确认与测试店证据</t>
  </si>
  <si>
    <t>archive/unarchive</t>
  </si>
  <si>
    <t>安全</t>
  </si>
  <si>
    <t>多用户数据隔离</t>
  </si>
  <si>
    <t>约定明确，但未见自动化全路由审计</t>
  </si>
  <si>
    <t>current_user 过滤</t>
  </si>
  <si>
    <t>API Key 加密存储</t>
  </si>
  <si>
    <t>图片模型兼容明文回退；需统一迁移与密钥轮换</t>
  </si>
  <si>
    <t>crypto_utils/image_generation</t>
  </si>
  <si>
    <t>运维</t>
  </si>
  <si>
    <t>开发启动</t>
  </si>
  <si>
    <t>项目 .venv 启动器指向不存在的 Python</t>
  </si>
  <si>
    <t>.venv / run.bat</t>
  </si>
  <si>
    <t>生产 Waitress 启动</t>
  </si>
  <si>
    <t>同样依赖失效 .venv；端口文档与文件不一致</t>
  </si>
  <si>
    <t>waitress_server.py</t>
  </si>
  <si>
    <t>数据库备份恢复</t>
  </si>
  <si>
    <t>当前库 481MB，现有备份远小于当前库且未验证恢复</t>
  </si>
  <si>
    <t>data.db / backups</t>
  </si>
  <si>
    <t>质量</t>
  </si>
  <si>
    <t>自动化测试</t>
  </si>
  <si>
    <t>测试文件 0</t>
  </si>
  <si>
    <t>仓库扫描</t>
  </si>
  <si>
    <t>CI/CD 与发布基线</t>
  </si>
  <si>
    <t>main 超前远端 32 提交且工作区脏</t>
  </si>
  <si>
    <t>产品规则与验收标准</t>
  </si>
  <si>
    <t>把 AI 开发经验转成可执行门禁，而不是依赖提示词碰运气</t>
  </si>
  <si>
    <t>领域</t>
  </si>
  <si>
    <t>规则</t>
  </si>
  <si>
    <t>具体要求</t>
  </si>
  <si>
    <t>验收标准</t>
  </si>
  <si>
    <t>当前状态</t>
  </si>
  <si>
    <t>母图</t>
  </si>
  <si>
    <t>主体定义</t>
  </si>
  <si>
    <t>只保留真实商品主体及明确属于该商品的附属配件；广告文字、装饰、店铺水印、非配件物体排除</t>
  </si>
  <si>
    <t>输出透明 PNG 目视无广告残留；产品无缺边</t>
  </si>
  <si>
    <t>已部分实现</t>
  </si>
  <si>
    <t>bbox 用法</t>
  </si>
  <si>
    <t>视觉 bbox 只能作为种子区域，不得直接作为最终裁切边界</t>
  </si>
  <si>
    <t>分割结果必须由 mask 反推真实边界；触边自动扩框</t>
  </si>
  <si>
    <t>V3.2 已实现，待样本验收</t>
  </si>
  <si>
    <t>像素真实性</t>
  </si>
  <si>
    <t>产品不透明区域必须来自原图，不允许 AI 重绘或修改产品像素</t>
  </si>
  <si>
    <t>opaque 区域像素差异为 0</t>
  </si>
  <si>
    <t>代码已检查</t>
  </si>
  <si>
    <t>自动批准</t>
  </si>
  <si>
    <t>视觉检测、rembg 和质量分只能提供建议，不得自动批准</t>
  </si>
  <si>
    <t>必须由用户点击确认母图</t>
  </si>
  <si>
    <t>服务端门禁需回归</t>
  </si>
  <si>
    <t>参考图</t>
  </si>
  <si>
    <t>可靠性</t>
  </si>
  <si>
    <t>优先白底图；没有白底图时可从其他商品图抠取母图；包装清单必须有对应证据</t>
  </si>
  <si>
    <t>无可靠参考图时阻断 reference 模式或明确警告</t>
  </si>
  <si>
    <t>部分实现</t>
  </si>
  <si>
    <t>生图</t>
  </si>
  <si>
    <t>结构保护</t>
  </si>
  <si>
    <t>形状、比例、按钮、接口、部件数量、材质分区、屏幕 UI 不得改变</t>
  </si>
  <si>
    <t>候选图结构评分达标且人工复核</t>
  </si>
  <si>
    <t>Prompt 已约束，QA 未完成</t>
  </si>
  <si>
    <t>卖点分组</t>
  </si>
  <si>
    <t>每张图只解决一组买家疑问；稳定承重/高度适配/家庭空间/训练功能等分组</t>
  </si>
  <si>
    <t>每槽位有 buyer_question、main_claim 和证据</t>
  </si>
  <si>
    <t>字段存在</t>
  </si>
  <si>
    <t>参考图原则</t>
  </si>
  <si>
    <t>参考图只学习构图、光影、场景、版式和风格，不抄结构与参数</t>
  </si>
  <si>
    <t>无虚构参数、无错误配件</t>
  </si>
  <si>
    <t>需 QA</t>
  </si>
  <si>
    <t>文案</t>
  </si>
  <si>
    <t>事实约束</t>
  </si>
  <si>
    <t>标题、卖点、描述只能使用已确认事实；不确定项不能编造</t>
  </si>
  <si>
    <t>所有参数可追溯到 ProductFact/证据或人工确认</t>
  </si>
  <si>
    <t>当前旧路由 Mock，不满足</t>
  </si>
  <si>
    <t>必填门禁</t>
  </si>
  <si>
    <t>category_id、type_id 和所有必填属性必须完整</t>
  </si>
  <si>
    <t>发布前 blocking_count=0</t>
  </si>
  <si>
    <t>已有校验</t>
  </si>
  <si>
    <t>价格</t>
  </si>
  <si>
    <t>人工确认</t>
  </si>
  <si>
    <t>来源价格不可靠或详情缺失时必须人工确认</t>
  </si>
  <si>
    <t>price_manual_confirmed=true 才允许发布</t>
  </si>
  <si>
    <t>字段存在，门禁需核验</t>
  </si>
  <si>
    <t>图片审核</t>
  </si>
  <si>
    <t>槽位完整</t>
  </si>
  <si>
    <t>计划要求的图片必须全部审核通过</t>
  </si>
  <si>
    <t>approved 图片数达到要求且 URL 可被 OZON 访问</t>
  </si>
  <si>
    <t>已有基础门禁</t>
  </si>
  <si>
    <t>发布</t>
  </si>
  <si>
    <t>环境顺序</t>
  </si>
  <si>
    <t>先测试店，后正式店；归档、恢复、改价、改库存属于高风险写操作</t>
  </si>
  <si>
    <t>测试店留存请求、响应、平台结果截图</t>
  </si>
  <si>
    <t>文档规则</t>
  </si>
  <si>
    <t>失败恢复</t>
  </si>
  <si>
    <t>每次外部调用保存脱敏请求、响应、错误分类和重试次数</t>
  </si>
  <si>
    <t>失败可重试且不会重复创建商品</t>
  </si>
  <si>
    <t>任务表存在，幂等性待验</t>
  </si>
  <si>
    <t>权限</t>
  </si>
  <si>
    <t>用户隔离</t>
  </si>
  <si>
    <t>任何查询、子查询、聚合、文件读取都必须绑定 current_user</t>
  </si>
  <si>
    <t>跨用户 ID 访问返回 404/403</t>
  </si>
  <si>
    <t>规范存在，无自动化审计</t>
  </si>
  <si>
    <t>删除</t>
  </si>
  <si>
    <t>可恢复性</t>
  </si>
  <si>
    <t>核心业务数据优先软删除；硬删除前必须确认关联影响</t>
  </si>
  <si>
    <t>删除后可恢复或有完整审计记录</t>
  </si>
  <si>
    <t>覆盖不统一</t>
  </si>
  <si>
    <t>密钥</t>
  </si>
  <si>
    <t>秘密管理</t>
  </si>
  <si>
    <t>API Key 只能加密存储、日志脱敏、不可回显完整值</t>
  </si>
  <si>
    <t>数据库无明文 key；轮换后旧 key 失效</t>
  </si>
  <si>
    <t>需专项审计</t>
  </si>
  <si>
    <t>批量任务</t>
  </si>
  <si>
    <t>可续跑</t>
  </si>
  <si>
    <t>批量采集、识别、生图、同步中断后可从任务状态续跑</t>
  </si>
  <si>
    <t>单项失败不拖垮整批，进度可见</t>
  </si>
  <si>
    <t>尚未系统化</t>
  </si>
  <si>
    <t>验收</t>
  </si>
  <si>
    <t>状态口径</t>
  </si>
  <si>
    <t>代码存在≠可用；真实数据成功且异常场景通过后才标可用</t>
  </si>
  <si>
    <t>验收记录含步骤、预期、实际、证据</t>
  </si>
  <si>
    <t>本基线采用此口径</t>
  </si>
  <si>
    <t>系统架构</t>
  </si>
  <si>
    <t>当前为单体 Flask 应用：库存记账与 OZON 运营共用数据库、认证和部署</t>
  </si>
  <si>
    <t>层级</t>
  </si>
  <si>
    <t>技术/组件</t>
  </si>
  <si>
    <t>代码位置</t>
  </si>
  <si>
    <t>职责</t>
  </si>
  <si>
    <t>现状与风险</t>
  </si>
  <si>
    <t>客户端</t>
  </si>
  <si>
    <t>Jinja2 + Bootstrap 5 + 原生 fetch + Chart.js</t>
  </si>
  <si>
    <t>templates/、static/</t>
  </si>
  <si>
    <t>页面、表单、局部 JSON 交互</t>
  </si>
  <si>
    <t>61 个模板；复杂 OZON 页面脚本集中</t>
  </si>
  <si>
    <t>Web 层</t>
  </si>
  <si>
    <t>Flask 3.0 + 22 个已注册蓝图</t>
  </si>
  <si>
    <t>app.py、blueprints/</t>
  </si>
  <si>
    <t>路由、认证、请求处理</t>
  </si>
  <si>
    <t>192 条路由；ozon.py 单文件 109 条</t>
  </si>
  <si>
    <t>业务服务</t>
  </si>
  <si>
    <t>采集、OZON API、生图、主体检测、抠图、汇率</t>
  </si>
  <si>
    <t>services/</t>
  </si>
  <si>
    <t>外部调用与核心算法</t>
  </si>
  <si>
    <t>服务成熟度不一致；vision_tool 有 TODO</t>
  </si>
  <si>
    <t>数据访问</t>
  </si>
  <si>
    <t>Peewee 4.0</t>
  </si>
  <si>
    <t>models.py、crud_utils.py</t>
  </si>
  <si>
    <t>ORM、用户过滤、聚合</t>
  </si>
  <si>
    <t>62 个模型类</t>
  </si>
  <si>
    <t>数据库</t>
  </si>
  <si>
    <t>SQLite WAL</t>
  </si>
  <si>
    <t>data.db / WAL / SHM</t>
  </si>
  <si>
    <t>业务数据、配置、任务、类目库</t>
  </si>
  <si>
    <t>61 表、约 481MB</t>
  </si>
  <si>
    <t>图片文件</t>
  </si>
  <si>
    <t>本地 uploads/output 路径 + 远程 URL</t>
  </si>
  <si>
    <t>uploads/、output/</t>
  </si>
  <si>
    <t>来源图、生成图、透明母图</t>
  </si>
  <si>
    <t>文件与数据库引用一致性需审计</t>
  </si>
  <si>
    <t>外部服务</t>
  </si>
  <si>
    <t>OZON Seller API</t>
  </si>
  <si>
    <t>services/ozon_api.py</t>
  </si>
  <si>
    <t>类目、商品、价格、库存、归档</t>
  </si>
  <si>
    <t>写接口需测试店验证</t>
  </si>
  <si>
    <t>OpenAI 兼容主模型/视觉模型</t>
  </si>
  <si>
    <t>模型配置表</t>
  </si>
  <si>
    <t>采集解析、视觉理解、未来 QA</t>
  </si>
  <si>
    <t>通用视觉服务未完成</t>
  </si>
  <si>
    <t>火山 ARK Seedream 4.5 / 其他生图模型</t>
  </si>
  <si>
    <t>参考图生图</t>
  </si>
  <si>
    <t>真实付费调用证据不足</t>
  </si>
  <si>
    <t>汇率 API</t>
  </si>
  <si>
    <t>定时拉取 CNY 汇率</t>
  </si>
  <si>
    <t>失败降级与监控需补</t>
  </si>
  <si>
    <t>运行</t>
  </si>
  <si>
    <t>Flask 开发服务器 / Waitress</t>
  </si>
  <si>
    <t>app.py、waitress_server.py、run.bat</t>
  </si>
  <si>
    <t>本地与生产启动</t>
  </si>
  <si>
    <t>当前 .venv 启动器失效</t>
  </si>
  <si>
    <t>Flask-Login + Flask-Limiter + current_user 过滤</t>
  </si>
  <si>
    <t>app.py、各蓝图</t>
  </si>
  <si>
    <t>登录、限流、租户隔离</t>
  </si>
  <si>
    <t>默认开发 secret 存在；全路由隔离未自动审计</t>
  </si>
  <si>
    <t>核心数据字典</t>
  </si>
  <si>
    <t>行数为 2026-06-25 对 data.db 的只读统计；只列核心与高体量对象</t>
  </si>
  <si>
    <t>数据对象</t>
  </si>
  <si>
    <t>业务含义</t>
  </si>
  <si>
    <t>当前行数</t>
  </si>
  <si>
    <t>关键字段</t>
  </si>
  <si>
    <t>主要关系</t>
  </si>
  <si>
    <t>用途</t>
  </si>
  <si>
    <t>User</t>
  </si>
  <si>
    <t>用户/租户</t>
  </si>
  <si>
    <t>username, password_hash, extension_token</t>
  </si>
  <si>
    <t>多数业务表 user_id</t>
  </si>
  <si>
    <t>认证与隔离边界</t>
  </si>
  <si>
    <t>核心</t>
  </si>
  <si>
    <t>Product</t>
  </si>
  <si>
    <t>产品主数据</t>
  </si>
  <si>
    <t>415</t>
  </si>
  <si>
    <t>sku, name, unit, stock, user_id</t>
  </si>
  <si>
    <t>订单、拆包、组合</t>
  </si>
  <si>
    <t>stock 是缓存字段</t>
  </si>
  <si>
    <t>SupplierOrder / Item</t>
  </si>
  <si>
    <t>12 / 21</t>
  </si>
  <si>
    <t>supplier, status, quantity, price</t>
  </si>
  <si>
    <t>PurchaseOrder</t>
  </si>
  <si>
    <t>采购计划与未收货</t>
  </si>
  <si>
    <t>PurchaseOrder / Item</t>
  </si>
  <si>
    <t>41 / 43</t>
  </si>
  <si>
    <t>date, product, quantity, unit_price</t>
  </si>
  <si>
    <t>库存增加与成本来源</t>
  </si>
  <si>
    <t>CustomerOrder / Item</t>
  </si>
  <si>
    <t>18 / 31</t>
  </si>
  <si>
    <t>customer, status, amount</t>
  </si>
  <si>
    <t>SalesOrder</t>
  </si>
  <si>
    <t>销售需求</t>
  </si>
  <si>
    <t>SalesOrder / Item</t>
  </si>
  <si>
    <t>22 / 37</t>
  </si>
  <si>
    <t>customer, product, quantity, price</t>
  </si>
  <si>
    <t>库存减少与销售额</t>
  </si>
  <si>
    <t>ProductSplit*</t>
  </si>
  <si>
    <t>拆包规则/订单</t>
  </si>
  <si>
    <t>规则有数据；订单 0</t>
  </si>
  <si>
    <t>source/target product, cost</t>
  </si>
  <si>
    <t>一拆多库存转换</t>
  </si>
  <si>
    <t>ProductAssembly*</t>
  </si>
  <si>
    <t>组合规则/订单</t>
  </si>
  <si>
    <t>bundle/component, cost</t>
  </si>
  <si>
    <t>多合一库存转换</t>
  </si>
  <si>
    <t>OzonAccount</t>
  </si>
  <si>
    <t>店铺凭证</t>
  </si>
  <si>
    <t>client_id, encrypted_api_key, environment</t>
  </si>
  <si>
    <t>OzonDraft/Job/Online</t>
  </si>
  <si>
    <t>外部账号与测试/正式环境</t>
  </si>
  <si>
    <t>敏感</t>
  </si>
  <si>
    <t>OzonSource</t>
  </si>
  <si>
    <t>49</t>
  </si>
  <si>
    <t>platform, source_url, raw_json, status</t>
  </si>
  <si>
    <t>SKU/Media/Draft/Fact</t>
  </si>
  <si>
    <t>采集入口</t>
  </si>
  <si>
    <t>OzonSourceSku</t>
  </si>
  <si>
    <t>来源 SKU</t>
  </si>
  <si>
    <t>487</t>
  </si>
  <si>
    <t>source_order, sku_name, price, image_refs</t>
  </si>
  <si>
    <t>FactSku/DraftSku</t>
  </si>
  <si>
    <t>SKU 事实来源</t>
  </si>
  <si>
    <t>OzonSourceMedia</t>
  </si>
  <si>
    <t>1264</t>
  </si>
  <si>
    <t>url/path, role, review, text flags</t>
  </si>
  <si>
    <t>Cutout/Reference</t>
  </si>
  <si>
    <t>视觉与生图证据</t>
  </si>
  <si>
    <t>ProductFact / SKU</t>
  </si>
  <si>
    <t>商品事实层</t>
  </si>
  <si>
    <t>26 / 186</t>
  </si>
  <si>
    <t>verified facts, review status</t>
  </si>
  <si>
    <t>ListingAdaptation/Draft</t>
  </si>
  <si>
    <t>AI 与发布之间的事实层</t>
  </si>
  <si>
    <t>ProductFactEvidence</t>
  </si>
  <si>
    <t>事实证据</t>
  </si>
  <si>
    <t>0</t>
  </si>
  <si>
    <t>fact, source, evidence</t>
  </si>
  <si>
    <t>ProductFact</t>
  </si>
  <si>
    <t>事实可追溯</t>
  </si>
  <si>
    <t>缺失</t>
  </si>
  <si>
    <t>平台适配</t>
  </si>
  <si>
    <t>marketplace fields/status</t>
  </si>
  <si>
    <t>Draft</t>
  </si>
  <si>
    <t>适配层</t>
  </si>
  <si>
    <t>低使用</t>
  </si>
  <si>
    <t>OzonCategory / Type</t>
  </si>
  <si>
    <t>类目与商品类型</t>
  </si>
  <si>
    <t>568 / 7422</t>
  </si>
  <si>
    <t>description_category_id, type_id</t>
  </si>
  <si>
    <t>Attribute/Draft</t>
  </si>
  <si>
    <t>类目绑定</t>
  </si>
  <si>
    <t>高体量</t>
  </si>
  <si>
    <t>OzonCategoryAttribute</t>
  </si>
  <si>
    <t>219091</t>
  </si>
  <si>
    <t>attribute_id, type_id, required</t>
  </si>
  <si>
    <t>必填属性规则</t>
  </si>
  <si>
    <t>属性字典值</t>
  </si>
  <si>
    <t>1218394</t>
  </si>
  <si>
    <t>dictionary_value_id, type_id, value_cn</t>
  </si>
  <si>
    <t>Attribute</t>
  </si>
  <si>
    <t>属性枚举翻译</t>
  </si>
  <si>
    <t>超高体量</t>
  </si>
  <si>
    <t>VisionModelConfig</t>
  </si>
  <si>
    <t>provider, model, base_url, encrypted key</t>
  </si>
  <si>
    <t>视觉/生图服务</t>
  </si>
  <si>
    <t>AI 接口配置</t>
  </si>
  <si>
    <t>ImageAnalysisJob / Fact</t>
  </si>
  <si>
    <t>图片分析</t>
  </si>
  <si>
    <t>18 / 53</t>
  </si>
  <si>
    <t>task_type, result, facts</t>
  </si>
  <si>
    <t>Media</t>
  </si>
  <si>
    <t>通用视觉分析</t>
  </si>
  <si>
    <t>未完整落地</t>
  </si>
  <si>
    <t>OzonProductSubjectDetection</t>
  </si>
  <si>
    <t>主体检测</t>
  </si>
  <si>
    <t>11</t>
  </si>
  <si>
    <t>bbox, excluded regions, confidence</t>
  </si>
  <si>
    <t>Cutout</t>
  </si>
  <si>
    <t>视觉检测历史</t>
  </si>
  <si>
    <t>OzonProductCutout</t>
  </si>
  <si>
    <t>产品母图</t>
  </si>
  <si>
    <t>15</t>
  </si>
  <si>
    <t>paths, quality, revision, status</t>
  </si>
  <si>
    <t>ImageSlot</t>
  </si>
  <si>
    <t>透明 PNG 与审核</t>
  </si>
  <si>
    <t>OzonImagePlan / Reference</t>
  </si>
  <si>
    <t>图片方案/参考</t>
  </si>
  <si>
    <t>0 / 0</t>
  </si>
  <si>
    <t>plan type, reference role</t>
  </si>
  <si>
    <t>可复用图片工作流</t>
  </si>
  <si>
    <t>尚未落库使用</t>
  </si>
  <si>
    <t>OzonImageSlot</t>
  </si>
  <si>
    <t>图片槽位</t>
  </si>
  <si>
    <t>8</t>
  </si>
  <si>
    <t>role, claims, references, status</t>
  </si>
  <si>
    <t>Candidate/Draft</t>
  </si>
  <si>
    <t>详情页图片任务</t>
  </si>
  <si>
    <t>候选生成图</t>
  </si>
  <si>
    <t>31</t>
  </si>
  <si>
    <t>provider, prompt, scores, status</t>
  </si>
  <si>
    <t>多模型比较</t>
  </si>
  <si>
    <t>OzonDraft / DraftSku</t>
  </si>
  <si>
    <t>刊登草稿</t>
  </si>
  <si>
    <t>1 / 6</t>
  </si>
  <si>
    <t>category, attributes, text, pricing, status</t>
  </si>
  <si>
    <t>PublishJob</t>
  </si>
  <si>
    <t>发布前聚合对象</t>
  </si>
  <si>
    <t>发布任务</t>
  </si>
  <si>
    <t>request, response, error, retry</t>
  </si>
  <si>
    <t>Draft/Account</t>
  </si>
  <si>
    <t>发布审计与恢复</t>
  </si>
  <si>
    <t>缺少真实成功证据</t>
  </si>
  <si>
    <t>OzonOnlineProduct / Action</t>
  </si>
  <si>
    <t>在线商品与操作</t>
  </si>
  <si>
    <t>29 / 12</t>
  </si>
  <si>
    <t>product_id, offer_id, state, action</t>
  </si>
  <si>
    <t>Account</t>
  </si>
  <si>
    <t>平台同步和写操作历史</t>
  </si>
  <si>
    <t>OperationLog</t>
  </si>
  <si>
    <t>59</t>
  </si>
  <si>
    <t>user, action, target, ip</t>
  </si>
  <si>
    <t>全局</t>
  </si>
  <si>
    <t>审计</t>
  </si>
  <si>
    <t>覆盖率待审计</t>
  </si>
  <si>
    <t>ExchangeRate</t>
  </si>
  <si>
    <t>汇率</t>
  </si>
  <si>
    <t>base, target, rate, updated_at</t>
  </si>
  <si>
    <t>定价/报表</t>
  </si>
  <si>
    <t>汇率缓存</t>
  </si>
  <si>
    <t>外部依赖</t>
  </si>
  <si>
    <t>部署与运行手册（现状）</t>
  </si>
  <si>
    <t>注意：这里同时记录“文档期望”和“本次验证结果”，避免照抄无效命令</t>
  </si>
  <si>
    <t>类别</t>
  </si>
  <si>
    <t>期望方式</t>
  </si>
  <si>
    <t>本次检查结果</t>
  </si>
  <si>
    <t>证据</t>
  </si>
  <si>
    <t>下一动作</t>
  </si>
  <si>
    <t>环境</t>
  </si>
  <si>
    <t>操作系统/版本</t>
  </si>
  <si>
    <t>Windows；Python 3.11；Node 仅用于本次文档生成</t>
  </si>
  <si>
    <t>AGENTS.md</t>
  </si>
  <si>
    <t>需固定可复现环境</t>
  </si>
  <si>
    <t>G:\inventory\.venv\Scripts\python.exe app.py</t>
  </si>
  <si>
    <t>失败：启动器指向不存在的 C:\Users\Lenovo\AppData\Local\Programs\Python\Python311\python.exe</t>
  </si>
  <si>
    <t>本次实测</t>
  </si>
  <si>
    <t>P0 修复虚拟环境</t>
  </si>
  <si>
    <t>生产启动</t>
  </si>
  <si>
    <t>G:\inventory\.venv\Scripts\python.exe waitress_server.py</t>
  </si>
  <si>
    <t>预计同样失败；文件实际监听 127.0.0.1:5000，与说明中的 8100 不一致</t>
  </si>
  <si>
    <t>代码+推断</t>
  </si>
  <si>
    <t>统一端口和环境变量</t>
  </si>
  <si>
    <t>快捷启动</t>
  </si>
  <si>
    <t>run.bat / 启动.bat / launcher.py</t>
  </si>
  <si>
    <t>会 taskkill 全部 python.exe，可能误杀无关 Python 服务</t>
  </si>
  <si>
    <t>代码审查</t>
  </si>
  <si>
    <t>改为 PID 文件定向停止</t>
  </si>
  <si>
    <t>停止</t>
  </si>
  <si>
    <t>stop.bat → stop.py</t>
  </si>
  <si>
    <t>需验证是否只停止本项目</t>
  </si>
  <si>
    <t>避免全局杀进程</t>
  </si>
  <si>
    <t>data.db + data.db-wal + data.db-shm</t>
  </si>
  <si>
    <t>SQLite WAL；busy_timeout=3000；foreign_keys=1</t>
  </si>
  <si>
    <t>models.py</t>
  </si>
  <si>
    <t>停机一致性备份需包含 WAL checkpoint</t>
  </si>
  <si>
    <t>初始化</t>
  </si>
  <si>
    <t>app.py:init_db()</t>
  </si>
  <si>
    <t>安全建表并执行若干 ALTER/migration/清理</t>
  </si>
  <si>
    <t>启动时迁移缺少版本表与回滚</t>
  </si>
  <si>
    <t>配置</t>
  </si>
  <si>
    <t>环境变量 + VisionModelConfig/UserApiKey/OzonAccount</t>
  </si>
  <si>
    <t>密钥位置分散</t>
  </si>
  <si>
    <t>统一 secret 管理与加密迁移</t>
  </si>
  <si>
    <t>日志</t>
  </si>
  <si>
    <t>OperationLog + 控制台 + 发布任务请求响应</t>
  </si>
  <si>
    <t>业务审计不等于系统错误日志</t>
  </si>
  <si>
    <t>数据库/代码</t>
  </si>
  <si>
    <t>增加滚动日志与错误 ID</t>
  </si>
  <si>
    <t>备份</t>
  </si>
  <si>
    <t>当前存在若干小体积备份文件</t>
  </si>
  <si>
    <t>未见与 481MB 当前库等量的可恢复备份证据</t>
  </si>
  <si>
    <t>建立每日备份+月度恢复演练</t>
  </si>
  <si>
    <t>部署</t>
  </si>
  <si>
    <t>main 分支本地运行</t>
  </si>
  <si>
    <t>本地比远端超前 32 提交，且有未提交/未跟踪文件</t>
  </si>
  <si>
    <t>Git</t>
  </si>
  <si>
    <t>先整理、提交、推送、打基线 tag</t>
  </si>
  <si>
    <t>恢复</t>
  </si>
  <si>
    <t>暂无验证过的标准流程</t>
  </si>
  <si>
    <t>无法证明从备份恢复后页面、图片和任务可用</t>
  </si>
  <si>
    <t>现状</t>
  </si>
  <si>
    <t>形成一键恢复演练记录</t>
  </si>
  <si>
    <t>核心功能验收矩阵</t>
  </si>
  <si>
    <t>建议逐项填写“实际结果/证据链接”，通过前不得改成可用</t>
  </si>
  <si>
    <t>前置条件</t>
  </si>
  <si>
    <t>操作步骤</t>
  </si>
  <si>
    <t>预期结果</t>
  </si>
  <si>
    <t>实际结果</t>
  </si>
  <si>
    <t>最终状态</t>
  </si>
  <si>
    <t>异常场景</t>
  </si>
  <si>
    <t>库存入库</t>
  </si>
  <si>
    <t>已登录且有产品/供应商</t>
  </si>
  <si>
    <t>创建采购单并入库</t>
  </si>
  <si>
    <t>库存与成本正确增加</t>
  </si>
  <si>
    <t>未执行</t>
  </si>
  <si>
    <t>含删除/修改/重复提交</t>
  </si>
  <si>
    <t>有足够库存和客户订单</t>
  </si>
  <si>
    <t>创建出库并关联订单</t>
  </si>
  <si>
    <t>库存减少、订单状态正确</t>
  </si>
  <si>
    <t>含缺货与取消</t>
  </si>
  <si>
    <t>拆包</t>
  </si>
  <si>
    <t>已有拆包规则和库存</t>
  </si>
  <si>
    <t>确认拆包单</t>
  </si>
  <si>
    <t>源库存减少、目标库存增加、总成本守恒</t>
  </si>
  <si>
    <t>无订单数据</t>
  </si>
  <si>
    <t>含取消回滚</t>
  </si>
  <si>
    <t>组合</t>
  </si>
  <si>
    <t>已有组合规则和零件库存</t>
  </si>
  <si>
    <t>确认组合单</t>
  </si>
  <si>
    <t>零件减少、套装增加、总成本守恒</t>
  </si>
  <si>
    <t>含库存不足</t>
  </si>
  <si>
    <t>多用户隔离</t>
  </si>
  <si>
    <t>准备两个用户及各自数据</t>
  </si>
  <si>
    <t>交叉访问 ID/列表/聚合</t>
  </si>
  <si>
    <t>另一用户数据不可见不可写</t>
  </si>
  <si>
    <t>覆盖 192 路由</t>
  </si>
  <si>
    <t>有效商品链接</t>
  </si>
  <si>
    <t>采集并保存</t>
  </si>
  <si>
    <t>标题/SKU/图片/价格与页面一致</t>
  </si>
  <si>
    <t>已有 49 来源但未抽样复核</t>
  </si>
  <si>
    <t>淘宝/1688/其他平台分别测</t>
  </si>
  <si>
    <t>主体识别</t>
  </si>
  <si>
    <t>广告图含商品与文字</t>
  </si>
  <si>
    <t>点击自动识别</t>
  </si>
  <si>
    <t>主商品框完整覆盖，排除框不侵入产品</t>
  </si>
  <si>
    <t>示例出现 bbox 偏窄</t>
  </si>
  <si>
    <t>建立 30–50 张样本集</t>
  </si>
  <si>
    <t>已确认目标框</t>
  </si>
  <si>
    <t>生成透明 PNG</t>
  </si>
  <si>
    <t>产品完整、文字/logo 清除、像素不变</t>
  </si>
  <si>
    <t>V3.2 已实现，未系统验收</t>
  </si>
  <si>
    <t>透明/黑色/细边产品</t>
  </si>
  <si>
    <t>质量不合格结果</t>
  </si>
  <si>
    <t>尝试批准</t>
  </si>
  <si>
    <t>服务端拒绝并给出原因</t>
  </si>
  <si>
    <t>代码存在</t>
  </si>
  <si>
    <t>不能只靠前端</t>
  </si>
  <si>
    <t>Seedream 参考图生成</t>
  </si>
  <si>
    <t>有效配置+公网参考图</t>
  </si>
  <si>
    <t>生成 1 张候选图</t>
  </si>
  <si>
    <t>API 成功、结构接近参考、文件可访问</t>
  </si>
  <si>
    <t>日志标记真实调用待确认</t>
  </si>
  <si>
    <t>会产生费用</t>
  </si>
  <si>
    <t>无白底图流程</t>
  </si>
  <si>
    <t>只有广告图/场景图</t>
  </si>
  <si>
    <t>识别→抠图→选母图→生图</t>
  </si>
  <si>
    <t>最终商品结构真实且无广告残留</t>
  </si>
  <si>
    <t>未端到端验证</t>
  </si>
  <si>
    <t>当前核心新增需求</t>
  </si>
  <si>
    <t>AI 文案</t>
  </si>
  <si>
    <t>事实层已审核</t>
  </si>
  <si>
    <t>非 Mock、无虚构、可追溯</t>
  </si>
  <si>
    <t>当前返回 Mock</t>
  </si>
  <si>
    <t>必须替换旧路由</t>
  </si>
  <si>
    <t>选择 category/type</t>
  </si>
  <si>
    <t>加载必填属性与字典</t>
  </si>
  <si>
    <t>无重复、type_id 正确、中文提示可用</t>
  </si>
  <si>
    <t>近期修复</t>
  </si>
  <si>
    <t>抽 5 类目</t>
  </si>
  <si>
    <t>准备缺失必填/图片未审草稿</t>
  </si>
  <si>
    <t>校验与审批</t>
  </si>
  <si>
    <t>明确阻断且不能绕过</t>
  </si>
  <si>
    <t>服务端测试</t>
  </si>
  <si>
    <t>测试店凭证+approved 草稿</t>
  </si>
  <si>
    <t>发布单 SKU</t>
  </si>
  <si>
    <t>产生 task_id，平台可见，任务留痕</t>
  </si>
  <si>
    <t>PublishJob=0</t>
  </si>
  <si>
    <t>真实外部验证</t>
  </si>
  <si>
    <t>在线商品更新</t>
  </si>
  <si>
    <t>测试商品</t>
  </si>
  <si>
    <t>改价/改库存/内容/图片</t>
  </si>
  <si>
    <t>平台结果与本地记录一致</t>
  </si>
  <si>
    <t>接口部分标注待实测</t>
  </si>
  <si>
    <t>逐接口测试</t>
  </si>
  <si>
    <t>归档恢复</t>
  </si>
  <si>
    <t>归档后恢复</t>
  </si>
  <si>
    <t>平台状态正确，二次确认有效</t>
  </si>
  <si>
    <t>禁止正式店先测</t>
  </si>
  <si>
    <t>备份恢复</t>
  </si>
  <si>
    <t>停止写入并备份</t>
  </si>
  <si>
    <t>在隔离目录恢复并启动</t>
  </si>
  <si>
    <t>数据量、图片、登录、核心页面一致</t>
  </si>
  <si>
    <t>无证据</t>
  </si>
  <si>
    <t>每月演练</t>
  </si>
  <si>
    <t>异常恢复</t>
  </si>
  <si>
    <t>模拟 API 超时/429/500</t>
  </si>
  <si>
    <t>执行采集/发布/生图</t>
  </si>
  <si>
    <t>错误分类、重试、无重复副作用</t>
  </si>
  <si>
    <t>部分代码存在</t>
  </si>
  <si>
    <t>可注入故障</t>
  </si>
  <si>
    <t>启动部署</t>
  </si>
  <si>
    <t>全新机器/干净环境</t>
  </si>
  <si>
    <t>按手册安装并启动</t>
  </si>
  <si>
    <t>30 分钟内可运行且版本一致</t>
  </si>
  <si>
    <t>.venv 已失效</t>
  </si>
  <si>
    <t>可接管性标准</t>
  </si>
  <si>
    <t>问题与风险清单</t>
  </si>
  <si>
    <t>P0：数据/安全/核心流程不可用；P1：重要错误；P2：局部问题；P3：体验问题</t>
  </si>
  <si>
    <t>风险描述</t>
  </si>
  <si>
    <t>可能影响</t>
  </si>
  <si>
    <t>建议措施</t>
  </si>
  <si>
    <t>R-001</t>
  </si>
  <si>
    <t>运行环境</t>
  </si>
  <si>
    <t>项目 .venv 启动器失效，指定 Python 不存在</t>
  </si>
  <si>
    <t>无法按文档启动/验证/部署</t>
  </si>
  <si>
    <t>本次 py_compile 与 import 均无法创建进程</t>
  </si>
  <si>
    <t>重建虚拟环境并锁定 Python/依赖；更新启动脚本</t>
  </si>
  <si>
    <t>未处理</t>
  </si>
  <si>
    <t>R-002</t>
  </si>
  <si>
    <t>当前数据库约 481MB，现有备份显著偏小且未做恢复演练</t>
  </si>
  <si>
    <t>数据丢失后无法恢复</t>
  </si>
  <si>
    <t>文件与数据库扫描</t>
  </si>
  <si>
    <t>建立一致性备份、校验、异机恢复演练</t>
  </si>
  <si>
    <t>R-003</t>
  </si>
  <si>
    <t>processing_generate 仍写入 Mock Russian 内容</t>
  </si>
  <si>
    <t>错误资料可能进入审核/发布</t>
  </si>
  <si>
    <t>替换为事实约束的真实模型服务并增加 Mock 禁止门禁</t>
  </si>
  <si>
    <t>R-004</t>
  </si>
  <si>
    <t>仓库没有测试文件</t>
  </si>
  <si>
    <t>修改后无法可靠回归 192 条路由</t>
  </si>
  <si>
    <t>文件扫描 TEST_FILES=0</t>
  </si>
  <si>
    <t>先建 P0 核心流程测试与租户隔离测试</t>
  </si>
  <si>
    <t>R-005</t>
  </si>
  <si>
    <t>规范要求 current_user 过滤，但无全路由自动审计</t>
  </si>
  <si>
    <t>越权读取/修改数据</t>
  </si>
  <si>
    <t>架构规范与缺少测试</t>
  </si>
  <si>
    <t>编写双用户集成测试和查询审计</t>
  </si>
  <si>
    <t>R-006</t>
  </si>
  <si>
    <t>密钥安全</t>
  </si>
  <si>
    <t>模型配置存在明文兼容回退，secret 管理分散</t>
  </si>
  <si>
    <t>API Key 泄露、无法轮换</t>
  </si>
  <si>
    <t>image_generation.py / 配置模型</t>
  </si>
  <si>
    <t>统一加密格式、迁移旧明文、日志脱敏和轮换</t>
  </si>
  <si>
    <t>R-007</t>
  </si>
  <si>
    <t>母图正确性</t>
  </si>
  <si>
    <t>视觉 bbox 可能偏窄，示例曾裁掉产品左侧</t>
  </si>
  <si>
    <t>母图结构不完整并污染后续生图</t>
  </si>
  <si>
    <t>真实截图+V3.2 修复记录</t>
  </si>
  <si>
    <t>bbox 仅作种子；建立样本集与完整度门禁</t>
  </si>
  <si>
    <t>处理中</t>
  </si>
  <si>
    <t>R-008</t>
  </si>
  <si>
    <t>生图真实性</t>
  </si>
  <si>
    <t>自动视觉 QA 未落地，结构保护主要依赖 Prompt 和人工</t>
  </si>
  <si>
    <t>生成图改变按钮/部件/参数</t>
  </si>
  <si>
    <t>日志与模型字段</t>
  </si>
  <si>
    <t>实现结构对比 QA，失败不得选用</t>
  </si>
  <si>
    <t>R-009</t>
  </si>
  <si>
    <t>发布闭环</t>
  </si>
  <si>
    <t>OzonPublishJob 行数为 0，缺少真实成功发布证据</t>
  </si>
  <si>
    <t>无法证明刊登流程可用</t>
  </si>
  <si>
    <t>数据库统计</t>
  </si>
  <si>
    <t>测试店发布单 SKU/多 SKU并留证</t>
  </si>
  <si>
    <t>R-010</t>
  </si>
  <si>
    <t>外部写操作</t>
  </si>
  <si>
    <t>改价/库存/归档等接口部分标注待实测</t>
  </si>
  <si>
    <t>正式店误操作或接口失效</t>
  </si>
  <si>
    <t>ozon_api.py 注释</t>
  </si>
  <si>
    <t>测试店逐项验证+环境门禁+二次确认</t>
  </si>
  <si>
    <t>R-011</t>
  </si>
  <si>
    <t>进程管理</t>
  </si>
  <si>
    <t>启动器 taskkill 全部 python.exe/pythonw.exe</t>
  </si>
  <si>
    <t>可能误杀其他业务</t>
  </si>
  <si>
    <t>launcher.py/run.bat</t>
  </si>
  <si>
    <t>PID 文件或端口绑定定向停止</t>
  </si>
  <si>
    <t>R-012</t>
  </si>
  <si>
    <t>数据正确性</t>
  </si>
  <si>
    <t>历史需求记录供应商订单明细编辑/删除可能影响整单</t>
  </si>
  <si>
    <t>采购与资金数据损坏</t>
  </si>
  <si>
    <t>requirements prioritization</t>
  </si>
  <si>
    <t>确认修复提交并做回归测试</t>
  </si>
  <si>
    <t>待确认</t>
  </si>
  <si>
    <t>R-013</t>
  </si>
  <si>
    <t>Git/灾备</t>
  </si>
  <si>
    <t>本地 main 超前远端 32 提交，工作区存在修改和大量未跟踪文件</t>
  </si>
  <si>
    <t>机器损坏会丢失最新代码与设计</t>
  </si>
  <si>
    <t>git status/log</t>
  </si>
  <si>
    <t>清理敏感文件、提交、推送、打 tag</t>
  </si>
  <si>
    <t>R-014</t>
  </si>
  <si>
    <t>维护性</t>
  </si>
  <si>
    <t>blueprints/ozon.py 单文件 109 路由</t>
  </si>
  <si>
    <t>改动冲突、难测试、难接管</t>
  </si>
  <si>
    <t>路由统计</t>
  </si>
  <si>
    <t>按采集/事实/图片/发布/在线商品拆分蓝图</t>
  </si>
  <si>
    <t>R-015</t>
  </si>
  <si>
    <t>通用视觉服务</t>
  </si>
  <si>
    <t>vision_tool.py 仍有 TODO/占位返回</t>
  </si>
  <si>
    <t>部分页面可能展示假完成或无真实分析</t>
  </si>
  <si>
    <t>代码扫描</t>
  </si>
  <si>
    <t>统一视觉客户端与任务状态</t>
  </si>
  <si>
    <t>R-016</t>
  </si>
  <si>
    <t>图片文件一致性</t>
  </si>
  <si>
    <t>图片同时使用本地路径和远程 URL</t>
  </si>
  <si>
    <t>迁移/备份后引用失效</t>
  </si>
  <si>
    <t>数据模型与服务</t>
  </si>
  <si>
    <t>建立文件资产表、校验任务、相对路径策略</t>
  </si>
  <si>
    <t>R-017</t>
  </si>
  <si>
    <t>SQLite 体量</t>
  </si>
  <si>
    <t>属性字典 121.8 万行，单库 481MB 且业务/字典共库</t>
  </si>
  <si>
    <t>备份慢、锁竞争、迁移风险</t>
  </si>
  <si>
    <t>拆分只读类目库或建立版本化缓存</t>
  </si>
  <si>
    <t>R-018</t>
  </si>
  <si>
    <t>启动迁移</t>
  </si>
  <si>
    <t>应用启动时执行 ALTER 和清理，无正式迁移版本/回滚</t>
  </si>
  <si>
    <t>启动失败或不可逆变更</t>
  </si>
  <si>
    <t>app.py:init_db</t>
  </si>
  <si>
    <t>引入迁移版本表、备份前置和失败回滚</t>
  </si>
  <si>
    <t>R-019</t>
  </si>
  <si>
    <t>抠图样本覆盖</t>
  </si>
  <si>
    <t>当前算法围绕单一问题快速迭代，缺少代表性数据集</t>
  </si>
  <si>
    <t>新图片类型回归</t>
  </si>
  <si>
    <t>提交历史</t>
  </si>
  <si>
    <t>建立带金标准 mask 的样本集与指标</t>
  </si>
  <si>
    <t>R-020</t>
  </si>
  <si>
    <t>Seedream 联调</t>
  </si>
  <si>
    <t>日志仍列真实调用、image 参数和 watermark 验证为待确认</t>
  </si>
  <si>
    <t>参考图可能未传入或结果不可控</t>
  </si>
  <si>
    <t>项目改动日志</t>
  </si>
  <si>
    <t>付费小样测试并保存脱敏请求快照</t>
  </si>
  <si>
    <t>R-021</t>
  </si>
  <si>
    <t>采集/识别/生图缺少统一队列、幂等和续跑模型</t>
  </si>
  <si>
    <t>批量中断后重复或丢任务</t>
  </si>
  <si>
    <t>架构审查</t>
  </si>
  <si>
    <t>统一 job 状态机和重试策略</t>
  </si>
  <si>
    <t>R-022</t>
  </si>
  <si>
    <t>审计完整性</t>
  </si>
  <si>
    <t>OperationLog 仅 59 条，无法证明覆盖所有高风险操作</t>
  </si>
  <si>
    <t>责任追踪不足</t>
  </si>
  <si>
    <t>规定必须记录的操作并补自动化测试</t>
  </si>
  <si>
    <t>R-023</t>
  </si>
  <si>
    <t>默认密钥</t>
  </si>
  <si>
    <t>Flask secret 缺环境变量时回退 dev-secret-key-change-me</t>
  </si>
  <si>
    <t>会话安全风险</t>
  </si>
  <si>
    <t>app.py</t>
  </si>
  <si>
    <t>生产环境缺密钥直接拒绝启动</t>
  </si>
  <si>
    <t>R-024</t>
  </si>
  <si>
    <t>端口/文档漂移</t>
  </si>
  <si>
    <t>说明写 8100，但 waitress_server.py 固定 5000</t>
  </si>
  <si>
    <t>运维误判和冲突</t>
  </si>
  <si>
    <t>AGENTS.md vs 文件</t>
  </si>
  <si>
    <t>统一 FLASK_PORT/WAITRESS_PORT</t>
  </si>
  <si>
    <t>R-025</t>
  </si>
  <si>
    <t>ProductFactEvidence 表为 0</t>
  </si>
  <si>
    <t>AI 文案与属性难追溯</t>
  </si>
  <si>
    <t>把来源片段/图片/人工确认写入证据表</t>
  </si>
  <si>
    <t>R-026</t>
  </si>
  <si>
    <t>编码质量</t>
  </si>
  <si>
    <t>PowerShell 读取部分源码显示乱码，文件编码一致性可疑</t>
  </si>
  <si>
    <t>日志/维护阅读困难</t>
  </si>
  <si>
    <t>本次检查</t>
  </si>
  <si>
    <t>统一 UTF-8 并加 editorconfig</t>
  </si>
  <si>
    <t>R-027</t>
  </si>
  <si>
    <t>汇率依赖</t>
  </si>
  <si>
    <t>后台线程每小时调用第三方汇率 API</t>
  </si>
  <si>
    <t>外部失败导致价格过期</t>
  </si>
  <si>
    <t>显示更新时间、失败告警、手工锁价</t>
  </si>
  <si>
    <t>R-028</t>
  </si>
  <si>
    <t>软删除一致性</t>
  </si>
  <si>
    <t>仅部分对象有 deleted_at</t>
  </si>
  <si>
    <t>误删恢复能力不一致</t>
  </si>
  <si>
    <t>模型扫描</t>
  </si>
  <si>
    <t>定义数据保留/删除矩阵</t>
  </si>
  <si>
    <t>R-029</t>
  </si>
  <si>
    <t>日志监控</t>
  </si>
  <si>
    <t>缺少统一错误日志、健康检查和告警</t>
  </si>
  <si>
    <t>线上故障发现晚</t>
  </si>
  <si>
    <t>运行结构</t>
  </si>
  <si>
    <t>增加 /health、滚动日志、关键任务告警</t>
  </si>
  <si>
    <t>R-030</t>
  </si>
  <si>
    <t>界面一致性</t>
  </si>
  <si>
    <t>复杂页面处于频繁增量修改</t>
  </si>
  <si>
    <t>学习成本与误操作</t>
  </si>
  <si>
    <t>未提交模板改动</t>
  </si>
  <si>
    <t>在核心流程稳定后统一交互</t>
  </si>
  <si>
    <t>下一阶段路线图</t>
  </si>
  <si>
    <t>优先级顺序：数据安全 → 可启动 → 核心正确性 → 稳定性 → 效率 → 新功能</t>
  </si>
  <si>
    <t>版本</t>
  </si>
  <si>
    <t>用户价值</t>
  </si>
  <si>
    <t>主要风险</t>
  </si>
  <si>
    <t>负责人</t>
  </si>
  <si>
    <t>工作量</t>
  </si>
  <si>
    <t>V0.1 基线收口</t>
  </si>
  <si>
    <t>重建可运行环境</t>
  </si>
  <si>
    <t>解决无法启动与不可接管</t>
  </si>
  <si>
    <t>干净机器按文档 30 分钟内启动；开发/Waitress 均通过</t>
  </si>
  <si>
    <t>依赖版本冲突</t>
  </si>
  <si>
    <t>开发负责人</t>
  </si>
  <si>
    <t>1–2天</t>
  </si>
  <si>
    <t>数据库一致性备份与恢复演练</t>
  </si>
  <si>
    <t>确保 481MB 数据库及图片可恢复</t>
  </si>
  <si>
    <t>每日备份；校验哈希；隔离目录恢复并跑核心页面</t>
  </si>
  <si>
    <t>WAL/图片遗漏</t>
  </si>
  <si>
    <t>运维负责人</t>
  </si>
  <si>
    <t>Git 基线与敏感文件清理</t>
  </si>
  <si>
    <t>保证代码可追溯与远端灾备</t>
  </si>
  <si>
    <t>提交/推送 32 个本地提交；工作区干净；tag baseline-20260625</t>
  </si>
  <si>
    <t>误提交密钥/大文件</t>
  </si>
  <si>
    <t>0.5–1天</t>
  </si>
  <si>
    <t>V0.2 正确性</t>
  </si>
  <si>
    <t>供应商订单 P0 回归</t>
  </si>
  <si>
    <t>确认旧缺陷不再破坏整单</t>
  </si>
  <si>
    <t>编辑/删除单明细、整单金额、库存均正确</t>
  </si>
  <si>
    <t>历史数据兼容</t>
  </si>
  <si>
    <t>开发+业务</t>
  </si>
  <si>
    <t>1天</t>
  </si>
  <si>
    <t>多用户隔离自动化测试</t>
  </si>
  <si>
    <t>防止越权</t>
  </si>
  <si>
    <t>两个用户覆盖列表、详情、写入、聚合和文件访问</t>
  </si>
  <si>
    <t>路由多</t>
  </si>
  <si>
    <t>2–4天</t>
  </si>
  <si>
    <t>替换 Mock 文案生成</t>
  </si>
  <si>
    <t>让商品资料真实可用</t>
  </si>
  <si>
    <t>基于审核事实生成俄语文案；无 Mock；保存模型/Prompt/证据</t>
  </si>
  <si>
    <t>AI 幻觉与费用</t>
  </si>
  <si>
    <t>AI开发</t>
  </si>
  <si>
    <t>2–3天</t>
  </si>
  <si>
    <t>母图金标准样本集</t>
  </si>
  <si>
    <t>稳定验证抠图完整性</t>
  </si>
  <si>
    <t>至少 50 张复杂图；完整率/残留/边缘指标可重复</t>
  </si>
  <si>
    <t>标注成本</t>
  </si>
  <si>
    <t>AI开发+运营</t>
  </si>
  <si>
    <t>母图 V3.2 收口</t>
  </si>
  <si>
    <t>修复 bbox 偏窄与排除框冲突</t>
  </si>
  <si>
    <t>目标完整、广告残留低、像素保持；批准门禁服务端通过</t>
  </si>
  <si>
    <t>透明/黑色细边</t>
  </si>
  <si>
    <t>V0.3 测试店闭环</t>
  </si>
  <si>
    <t>Seedream 真实联调</t>
  </si>
  <si>
    <t>证明参考图真实传入</t>
  </si>
  <si>
    <t>脱敏请求快照显示 image 数组；生成图保存成功；watermark=false</t>
  </si>
  <si>
    <t>付费/API变化</t>
  </si>
  <si>
    <t>单 SKU 测试店发布</t>
  </si>
  <si>
    <t>证明创建商品链路</t>
  </si>
  <si>
    <t>PublishJob success；task_id 可查询；平台商品可见</t>
  </si>
  <si>
    <t>平台校验变化</t>
  </si>
  <si>
    <t>OZON开发+运营</t>
  </si>
  <si>
    <t>多 SKU/图片/价格/库存测试</t>
  </si>
  <si>
    <t>证明完整写操作</t>
  </si>
  <si>
    <t>逐接口请求响应、平台截图、回滚步骤齐全</t>
  </si>
  <si>
    <t>写错数据</t>
  </si>
  <si>
    <t>归档/恢复二次确认</t>
  </si>
  <si>
    <t>控制高风险操作</t>
  </si>
  <si>
    <t>仅测试店可执行；二次确认；OperationLog 完整</t>
  </si>
  <si>
    <t>误操作</t>
  </si>
  <si>
    <t>OZON开发</t>
  </si>
  <si>
    <t>V0.4 稳定性</t>
  </si>
  <si>
    <t>统一任务状态机</t>
  </si>
  <si>
    <t>批量任务可续跑</t>
  </si>
  <si>
    <t>采集/识别/生图/发布统一 pending/running/success/failed/retry</t>
  </si>
  <si>
    <t>改造范围大</t>
  </si>
  <si>
    <t>3–5天</t>
  </si>
  <si>
    <t>日志、健康检查、错误 ID</t>
  </si>
  <si>
    <t>故障可定位</t>
  </si>
  <si>
    <t>/health、文件日志、任务关联 ID、关键失败告警</t>
  </si>
  <si>
    <t>日志噪声</t>
  </si>
  <si>
    <t>2天</t>
  </si>
  <si>
    <t>拆分 OZON 大蓝图</t>
  </si>
  <si>
    <t>降低维护风险</t>
  </si>
  <si>
    <t>按领域拆分且路由行为不变，测试通过</t>
  </si>
  <si>
    <t>回归风险</t>
  </si>
  <si>
    <t>V0.5 AI 质量</t>
  </si>
  <si>
    <t>自动发现结构/文字/参数错误</t>
  </si>
  <si>
    <t>候选图产生 QA 分与差异说明；失败不可选用</t>
  </si>
  <si>
    <t>模型误判</t>
  </si>
  <si>
    <t>事实证据链</t>
  </si>
  <si>
    <t>所有 AI 输出可追溯</t>
  </si>
  <si>
    <t>ProductFactEvidence 有数据；文案/属性引用证据</t>
  </si>
  <si>
    <t>录入成本</t>
  </si>
  <si>
    <t>V1.0 试运行</t>
  </si>
  <si>
    <t>10–20 个真实商品全链路验收</t>
  </si>
  <si>
    <t>判断系统是否可运营</t>
  </si>
  <si>
    <t>采集→母图→生图→文案→审核→测试店发布成功率达标</t>
  </si>
  <si>
    <t>样本差异</t>
  </si>
  <si>
    <t>项目负责人</t>
  </si>
  <si>
    <t>1–2周</t>
  </si>
  <si>
    <t>证据与判断口径</t>
  </si>
  <si>
    <t>本工作簿是第一版现状基线，不替代逐功能实测；所有结论均可回到证据位置复核</t>
  </si>
  <si>
    <t>证据项</t>
  </si>
  <si>
    <t>位置/值</t>
  </si>
  <si>
    <t>方法/口径</t>
  </si>
  <si>
    <t>说明</t>
  </si>
  <si>
    <t>基线日期</t>
  </si>
  <si>
    <t>2026-06-25</t>
  </si>
  <si>
    <t>固定日期</t>
  </si>
  <si>
    <t>后续开发应更新版本而非覆盖历史</t>
  </si>
  <si>
    <t>rg、Git、源码只读检查</t>
  </si>
  <si>
    <t>统计路由、模型、模板、TODO、Mock 与关键服务</t>
  </si>
  <si>
    <t>G:\inventory\data.db</t>
  </si>
  <si>
    <t>SQLite 只读连接</t>
  </si>
  <si>
    <t>统计 61 张业务表与核心行数，未修改数据</t>
  </si>
  <si>
    <t>main...origin/main [ahead 32]</t>
  </si>
  <si>
    <t>git status/log/diff</t>
  </si>
  <si>
    <t>工作区有 1 个已修改模板和多项未跟踪内容</t>
  </si>
  <si>
    <t>运行验证</t>
  </si>
  <si>
    <t>.venv Python 启动器</t>
  </si>
  <si>
    <t>py_compile/import 尝试</t>
  </si>
  <si>
    <t>失败原因是虚拟环境启动器引用不存在的 Python</t>
  </si>
  <si>
    <t>有实现证据，并有真实数据/使用迹象；仍可能需要补异常测试</t>
  </si>
  <si>
    <t>状态定义</t>
  </si>
  <si>
    <t>不是“绝对无缺陷”</t>
  </si>
  <si>
    <t>代码/页面存在，但没有足够真实验收证据</t>
  </si>
  <si>
    <t>默认不视为可生产</t>
  </si>
  <si>
    <t>近期持续修改，目标方案已形成但尚未稳定验收</t>
  </si>
  <si>
    <t>母图和图片生成属于此类</t>
  </si>
  <si>
    <t>已确认不能满足目标或无法运行</t>
  </si>
  <si>
    <t>Mock 文案、失效虚拟环境、备份恢复</t>
  </si>
  <si>
    <t>关键能力尚无实现或证据</t>
  </si>
  <si>
    <t>自动化测试、完整自动 QA</t>
  </si>
  <si>
    <t>限制</t>
  </si>
  <si>
    <t>未调用付费 Seedream、未向 OZON 执行写操作、未登录页面逐项点击</t>
  </si>
  <si>
    <t>审查边界</t>
  </si>
  <si>
    <t>这些需要用户授权与测试店环境</t>
  </si>
  <si>
    <t>下一次更新</t>
  </si>
  <si>
    <t>完成每个路线图任务后更新功能状态、验收矩阵和风险状态</t>
  </si>
  <si>
    <t>维护规则</t>
  </si>
  <si>
    <t>保留基线版本和变更日期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</si>
</sst>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8"/>
      <color rgb="FFFFFFFF"/>
      <name val="Microsoft YaHei"/>
      <charset val="134"/>
    </font>
    <font>
      <i/>
      <sz val="10"/>
      <color rgb="FF64748B"/>
      <name val="Microsoft YaHei"/>
      <charset val="134"/>
    </font>
    <font>
      <sz val="11"/>
      <name val="Microsoft YaHei"/>
      <charset val="134"/>
    </font>
    <font>
      <b/>
      <sz val="11"/>
      <color rgb="FFFFFFFF"/>
      <name val="Microsoft YaHei"/>
      <charset val="134"/>
    </font>
    <font>
      <sz val="11"/>
      <color rgb="FF172033"/>
      <name val="Microsoft YaHei"/>
      <charset val="134"/>
    </font>
    <font>
      <b/>
      <sz val="12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E2E8F0"/>
      </bottom>
      <diagonal/>
    </border>
    <border>
      <left/>
      <right/>
      <top style="thin">
        <color rgb="FFCBD5E1"/>
      </top>
      <bottom style="thin">
        <color rgb="FFE2E8F0"/>
      </bottom>
      <diagonal/>
    </border>
    <border>
      <left style="thin">
        <color rgb="FFCBD5E1"/>
      </left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 style="thin">
        <color rgb="FFE2E8F0"/>
      </top>
      <bottom style="thin">
        <color rgb="FFCBD5E1"/>
      </bottom>
      <diagonal/>
    </border>
    <border>
      <left/>
      <right/>
      <top style="thin">
        <color rgb="FFE2E8F0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7" fillId="16" borderId="12" applyNumberFormat="0" applyAlignment="0" applyProtection="0">
      <alignment vertical="center"/>
    </xf>
    <xf numFmtId="0" fontId="18" fillId="16" borderId="11" applyNumberFormat="0" applyAlignment="0" applyProtection="0">
      <alignment vertical="center"/>
    </xf>
    <xf numFmtId="0" fontId="19" fillId="1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/>
    </xf>
    <xf numFmtId="0" fontId="4" fillId="2" borderId="1" xfId="49" applyNumberFormat="1" applyFont="1" applyFill="1" applyBorder="1" applyAlignment="1">
      <alignment vertical="center" wrapText="1"/>
    </xf>
    <xf numFmtId="0" fontId="4" fillId="2" borderId="2" xfId="49" applyNumberFormat="1" applyFont="1" applyFill="1" applyBorder="1" applyAlignment="1">
      <alignment vertical="center" wrapText="1"/>
    </xf>
    <xf numFmtId="0" fontId="3" fillId="0" borderId="3" xfId="49" applyNumberFormat="1" applyFont="1" applyFill="1" applyBorder="1" applyAlignment="1">
      <alignment vertical="center" wrapText="1"/>
    </xf>
    <xf numFmtId="0" fontId="3" fillId="0" borderId="4" xfId="49" applyNumberFormat="1" applyFont="1" applyFill="1" applyBorder="1" applyAlignment="1">
      <alignment vertical="center" wrapText="1"/>
    </xf>
    <xf numFmtId="0" fontId="3" fillId="0" borderId="5" xfId="49" applyNumberFormat="1" applyFont="1" applyFill="1" applyBorder="1" applyAlignment="1">
      <alignment vertical="center" wrapText="1"/>
    </xf>
    <xf numFmtId="0" fontId="3" fillId="0" borderId="6" xfId="49" applyNumberFormat="1" applyFont="1" applyFill="1" applyBorder="1" applyAlignment="1">
      <alignment vertical="center" wrapText="1"/>
    </xf>
    <xf numFmtId="0" fontId="3" fillId="4" borderId="4" xfId="49" applyNumberFormat="1" applyFont="1" applyFill="1" applyBorder="1" applyAlignment="1">
      <alignment vertical="center" wrapText="1"/>
    </xf>
    <xf numFmtId="0" fontId="3" fillId="5" borderId="4" xfId="49" applyNumberFormat="1" applyFont="1" applyFill="1" applyBorder="1" applyAlignment="1">
      <alignment vertical="center" wrapText="1"/>
    </xf>
    <xf numFmtId="0" fontId="3" fillId="6" borderId="4" xfId="49" applyNumberFormat="1" applyFont="1" applyFill="1" applyBorder="1" applyAlignment="1">
      <alignment vertical="center" wrapText="1"/>
    </xf>
    <xf numFmtId="0" fontId="3" fillId="7" borderId="4" xfId="49" applyNumberFormat="1" applyFont="1" applyFill="1" applyBorder="1" applyAlignment="1">
      <alignment vertical="center" wrapText="1"/>
    </xf>
    <xf numFmtId="0" fontId="3" fillId="5" borderId="6" xfId="49" applyNumberFormat="1" applyFont="1" applyFill="1" applyBorder="1" applyAlignment="1">
      <alignment vertical="center" wrapText="1"/>
    </xf>
    <xf numFmtId="0" fontId="3" fillId="8" borderId="4" xfId="49" applyNumberFormat="1" applyFont="1" applyFill="1" applyBorder="1" applyAlignment="1">
      <alignment vertical="center" wrapText="1"/>
    </xf>
    <xf numFmtId="0" fontId="3" fillId="9" borderId="4" xfId="49" applyNumberFormat="1" applyFont="1" applyFill="1" applyBorder="1" applyAlignment="1">
      <alignment vertical="center" wrapText="1"/>
    </xf>
    <xf numFmtId="0" fontId="3" fillId="9" borderId="6" xfId="49" applyNumberFormat="1" applyFont="1" applyFill="1" applyBorder="1" applyAlignment="1">
      <alignment vertical="center" wrapText="1"/>
    </xf>
    <xf numFmtId="0" fontId="3" fillId="6" borderId="6" xfId="49" applyNumberFormat="1" applyFont="1" applyFill="1" applyBorder="1" applyAlignment="1">
      <alignment vertical="center" wrapText="1"/>
    </xf>
    <xf numFmtId="176" fontId="1" fillId="2" borderId="0" xfId="49" applyNumberFormat="1" applyFont="1" applyFill="1" applyBorder="1" applyAlignment="1">
      <alignment vertical="center"/>
    </xf>
    <xf numFmtId="0" fontId="4" fillId="10" borderId="0" xfId="49" applyNumberFormat="1" applyFont="1" applyFill="1" applyBorder="1" applyAlignment="1">
      <alignment vertical="center"/>
    </xf>
    <xf numFmtId="0" fontId="4" fillId="11" borderId="0" xfId="49" applyNumberFormat="1" applyFont="1" applyFill="1" applyBorder="1" applyAlignment="1">
      <alignment vertical="center"/>
    </xf>
    <xf numFmtId="0" fontId="4" fillId="12" borderId="0" xfId="49" applyNumberFormat="1" applyFont="1" applyFill="1" applyBorder="1" applyAlignment="1">
      <alignment vertical="center"/>
    </xf>
    <xf numFmtId="0" fontId="4" fillId="13" borderId="0" xfId="49" applyNumberFormat="1" applyFont="1" applyFill="1" applyBorder="1" applyAlignment="1">
      <alignment vertical="center"/>
    </xf>
    <xf numFmtId="0" fontId="5" fillId="9" borderId="0" xfId="49" applyNumberFormat="1" applyFont="1" applyFill="1" applyBorder="1" applyAlignment="1">
      <alignment vertical="center" wrapText="1"/>
    </xf>
    <xf numFmtId="0" fontId="5" fillId="7" borderId="0" xfId="49" applyNumberFormat="1" applyFont="1" applyFill="1" applyBorder="1" applyAlignment="1">
      <alignment vertical="center" wrapText="1"/>
    </xf>
    <xf numFmtId="0" fontId="5" fillId="5" borderId="0" xfId="49" applyNumberFormat="1" applyFont="1" applyFill="1" applyBorder="1" applyAlignment="1">
      <alignment vertical="center" wrapText="1"/>
    </xf>
    <xf numFmtId="0" fontId="5" fillId="4" borderId="0" xfId="49" applyNumberFormat="1" applyFont="1" applyFill="1" applyBorder="1" applyAlignment="1">
      <alignment vertical="center" wrapText="1"/>
    </xf>
    <xf numFmtId="0" fontId="6" fillId="10" borderId="0" xfId="49" applyNumberFormat="1" applyFont="1" applyFill="1" applyBorder="1" applyAlignment="1">
      <alignment vertical="center"/>
    </xf>
    <xf numFmtId="0" fontId="4" fillId="2" borderId="7" xfId="49" applyNumberFormat="1" applyFont="1" applyFill="1" applyBorder="1" applyAlignment="1">
      <alignment vertical="center"/>
    </xf>
    <xf numFmtId="0" fontId="3" fillId="0" borderId="7" xfId="49" applyNumberFormat="1" applyFont="1" applyFill="1" applyBorder="1" applyAlignment="1">
      <alignment vertical="center"/>
    </xf>
    <xf numFmtId="0" fontId="4" fillId="2" borderId="7" xfId="49" applyNumberFormat="1" applyFont="1" applyFill="1" applyBorder="1" applyAlignment="1">
      <alignment vertical="center" wrapText="1"/>
    </xf>
    <xf numFmtId="0" fontId="3" fillId="0" borderId="7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功能成熟度：待验证项占主导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invertIfNegative val="0"/>
          <c:dLbls>
            <c:delete val="1"/>
          </c:dLbls>
          <c:cat>
            <c:strRef>
              <c:f>'00_项目总览'!$A$11:$A$15</c:f>
              <c:strCache>
                <c:ptCount val="5"/>
                <c:pt idx="0">
                  <c:v>可用</c:v>
                </c:pt>
                <c:pt idx="1">
                  <c:v>待验证</c:v>
                </c:pt>
                <c:pt idx="2">
                  <c:v>开发中</c:v>
                </c:pt>
                <c:pt idx="3">
                  <c:v>有缺陷</c:v>
                </c:pt>
                <c:pt idx="4">
                  <c:v>未开始</c:v>
                </c:pt>
              </c:strCache>
            </c:strRef>
          </c:cat>
          <c:val>
            <c:numRef>
              <c:f>'00_项目总览'!$B$11:$B$15</c:f>
              <c:numCache>
                <c:formatCode>General</c:formatCode>
                <c:ptCount val="5"/>
                <c:pt idx="0">
                  <c:v>13</c:v>
                </c:pt>
                <c:pt idx="1">
                  <c:v>29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b50e48-28cf-48d1-8a32-1187bf0d172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风险分布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"数量"</c:f>
              <c:strCache>
                <c:ptCount val="1"/>
                <c:pt idx="0">
                  <c:v>数量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Lbls>
            <c:delete val="1"/>
          </c:dLbls>
          <c:cat>
            <c:strRef>
              <c:f>'00_项目总览'!$G$11:$G$14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'00_项目总览'!$H$11:$H$14</c:f>
              <c:numCache>
                <c:formatCode>General</c:formatCode>
                <c:ptCount val="4"/>
                <c:pt idx="0">
                  <c:v>12</c:v>
                </c:pt>
                <c:pt idx="1">
                  <c:v>13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520272-dc74-4194-ac73-e97071c0e61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8</xdr:row>
      <xdr:rowOff>0</xdr:rowOff>
    </xdr:from>
    <xdr:to>
      <xdr:col>6</xdr:col>
      <xdr:colOff>0</xdr:colOff>
      <xdr:row>21</xdr:row>
      <xdr:rowOff>0</xdr:rowOff>
    </xdr:to>
    <xdr:graphicFrame>
      <xdr:nvGraphicFramePr>
        <xdr:cNvPr id="2" name="Chart"/>
        <xdr:cNvGraphicFramePr/>
      </xdr:nvGraphicFramePr>
      <xdr:xfrm>
        <a:off x="5943600" y="2028825"/>
        <a:ext cx="251460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12</xdr:col>
      <xdr:colOff>0</xdr:colOff>
      <xdr:row>21</xdr:row>
      <xdr:rowOff>0</xdr:rowOff>
    </xdr:to>
    <xdr:graphicFrame>
      <xdr:nvGraphicFramePr>
        <xdr:cNvPr id="3" name="Chart"/>
        <xdr:cNvGraphicFramePr/>
      </xdr:nvGraphicFramePr>
      <xdr:xfrm>
        <a:off x="10972800" y="2028825"/>
        <a:ext cx="2514600" cy="281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ojectOverview" displayName="ProjectOverview" ref="A4:D15">
  <tableColumns count="4">
    <tableColumn id="1" name="主题"/>
    <tableColumn id="2" name="当前结论"/>
    <tableColumn id="3" name="证据类型"/>
    <tableColumn id="4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reFlows" displayName="CoreFlows" ref="A4:G18">
  <tableColumns count="7">
    <tableColumn id="1" name="编号"/>
    <tableColumn id="2" name="流程环节"/>
    <tableColumn id="3" name="操作者"/>
    <tableColumn id="4" name="输入"/>
    <tableColumn id="5" name="系统动作"/>
    <tableColumn id="6" name="输出"/>
    <tableColumn id="7" name="失败与恢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Inventory" displayName="FeatureInventory" ref="A4:G62">
  <autoFilter xmlns:etc="http://www.wps.cn/officeDocument/2017/etCustomData" ref="A4:G62" etc:filterBottomFollowUsedRange="0">
    <filterColumn colId="5">
      <filters>
        <filter val="P0"/>
      </filters>
    </filterColumn>
  </autoFilter>
  <tableColumns count="7">
    <tableColumn id="1" name="模块"/>
    <tableColumn id="2" name="功能"/>
    <tableColumn id="3" name="状态"/>
    <tableColumn id="4" name="是否可用"/>
    <tableColumn id="5" name="已知问题/证据"/>
    <tableColumn id="6" name="优先级"/>
    <tableColumn id="7" name="证据位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Rules" displayName="ProductRules" ref="A4:F23">
  <tableColumns count="6">
    <tableColumn id="1" name="领域"/>
    <tableColumn id="2" name="规则"/>
    <tableColumn id="3" name="具体要求"/>
    <tableColumn id="4" name="验收标准"/>
    <tableColumn id="5" name="优先级"/>
    <tableColumn id="6" name="当前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rchitecture" displayName="Architecture" ref="A4:E16">
  <tableColumns count="5">
    <tableColumn id="1" name="层级"/>
    <tableColumn id="2" name="技术/组件"/>
    <tableColumn id="3" name="代码位置"/>
    <tableColumn id="4" name="职责"/>
    <tableColumn id="5" name="现状与风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Dictionary" displayName="DataDictionary" ref="A4:G34">
  <tableColumns count="7">
    <tableColumn id="1" name="数据对象"/>
    <tableColumn id="2" name="业务含义"/>
    <tableColumn id="3" name="当前行数"/>
    <tableColumn id="4" name="关键字段"/>
    <tableColumn id="5" name="主要关系"/>
    <tableColumn id="6" name="用途"/>
    <tableColumn id="7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unbook" displayName="Runbook" ref="A4:E16">
  <tableColumns count="5">
    <tableColumn id="1" name="类别"/>
    <tableColumn id="2" name="期望方式"/>
    <tableColumn id="3" name="本次检查结果"/>
    <tableColumn id="4" name="证据"/>
    <tableColumn id="5" name="下一动作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cceptanceMatrix" displayName="AcceptanceMatrix" ref="A4:H24">
  <tableColumns count="8">
    <tableColumn id="1" name="功能"/>
    <tableColumn id="2" name="前置条件"/>
    <tableColumn id="3" name="操作步骤"/>
    <tableColumn id="4" name="预期结果"/>
    <tableColumn id="5" name="实际结果"/>
    <tableColumn id="6" name="最终状态"/>
    <tableColumn id="7" name="优先级"/>
    <tableColumn id="8" name="异常场景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iskRegister" displayName="RiskRegister" ref="A4:H34">
  <tableColumns count="8">
    <tableColumn id="1" name="编号"/>
    <tableColumn id="2" name="级别"/>
    <tableColumn id="3" name="领域"/>
    <tableColumn id="4" name="风险描述"/>
    <tableColumn id="5" name="可能影响"/>
    <tableColumn id="6" name="证据"/>
    <tableColumn id="7" name="建议措施"/>
    <tableColumn id="8" name="状态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oadmap" displayName="Roadmap" ref="A4:H22">
  <tableColumns count="8">
    <tableColumn id="1" name="版本"/>
    <tableColumn id="2" name="任务"/>
    <tableColumn id="3" name="用户价值"/>
    <tableColumn id="4" name="验收标准"/>
    <tableColumn id="5" name="主要风险"/>
    <tableColumn id="6" name="负责人"/>
    <tableColumn id="7" name="工作量"/>
    <tableColumn id="8" name="优先级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vidence" displayName="Evidence" ref="A4:D16">
  <tableColumns count="4">
    <tableColumn id="1" name="证据项"/>
    <tableColumn id="2" name="位置/值"/>
    <tableColumn id="3" name="方法/口径"/>
    <tableColumn id="4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showGridLines="0" topLeftCell="A18" workbookViewId="0">
      <selection activeCell="C14" sqref="C14"/>
    </sheetView>
  </sheetViews>
  <sheetFormatPr defaultColWidth="9" defaultRowHeight="14.25"/>
  <cols>
    <col min="1" max="1" width="10" customWidth="1"/>
    <col min="2" max="2" width="26" customWidth="1"/>
    <col min="3" max="3" width="42" customWidth="1"/>
    <col min="4" max="12" width="11" customWidth="1"/>
  </cols>
  <sheetData>
    <row r="1" ht="34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.5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4" customHeight="1" spans="1:12">
      <c r="A4" s="20" t="s">
        <v>2</v>
      </c>
      <c r="B4" s="20"/>
      <c r="C4" s="20"/>
      <c r="D4" s="21" t="s">
        <v>3</v>
      </c>
      <c r="E4" s="21"/>
      <c r="F4" s="21"/>
      <c r="G4" s="22" t="s">
        <v>4</v>
      </c>
      <c r="H4" s="22"/>
      <c r="I4" s="22"/>
      <c r="J4" s="23" t="s">
        <v>5</v>
      </c>
      <c r="K4" s="23"/>
      <c r="L4" s="23"/>
    </row>
    <row r="5" spans="1:12">
      <c r="A5" s="24" t="s">
        <v>6</v>
      </c>
      <c r="B5" s="24"/>
      <c r="C5" s="24"/>
      <c r="D5" s="25" t="s">
        <v>7</v>
      </c>
      <c r="E5" s="25"/>
      <c r="F5" s="25"/>
      <c r="G5" s="26" t="s">
        <v>8</v>
      </c>
      <c r="H5" s="26"/>
      <c r="I5" s="26"/>
      <c r="J5" s="27" t="s">
        <v>9</v>
      </c>
      <c r="K5" s="27"/>
      <c r="L5" s="27"/>
    </row>
    <row r="6" spans="1:12">
      <c r="A6" s="24"/>
      <c r="B6" s="24"/>
      <c r="C6" s="24"/>
      <c r="D6" s="25"/>
      <c r="E6" s="25"/>
      <c r="F6" s="25"/>
      <c r="G6" s="26"/>
      <c r="H6" s="26"/>
      <c r="I6" s="26"/>
      <c r="J6" s="27"/>
      <c r="K6" s="27"/>
      <c r="L6" s="27"/>
    </row>
    <row r="7" spans="1:12">
      <c r="A7" s="24"/>
      <c r="B7" s="24"/>
      <c r="C7" s="24"/>
      <c r="D7" s="25"/>
      <c r="E7" s="25"/>
      <c r="F7" s="25"/>
      <c r="G7" s="26"/>
      <c r="H7" s="26"/>
      <c r="I7" s="26"/>
      <c r="J7" s="27"/>
      <c r="K7" s="27"/>
      <c r="L7" s="27"/>
    </row>
    <row r="8" ht="16.5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4" customHeight="1" spans="1:12">
      <c r="A9" s="28" t="s">
        <v>10</v>
      </c>
      <c r="B9" s="28"/>
      <c r="C9" s="28"/>
      <c r="D9" s="28"/>
      <c r="E9" s="28"/>
      <c r="F9" s="28"/>
      <c r="G9" s="28" t="s">
        <v>11</v>
      </c>
      <c r="H9" s="28"/>
      <c r="I9" s="28"/>
      <c r="J9" s="28"/>
      <c r="K9" s="28"/>
      <c r="L9" s="28"/>
    </row>
    <row r="10" ht="16.5" spans="1:12">
      <c r="A10" s="29" t="s">
        <v>12</v>
      </c>
      <c r="B10" s="29" t="s">
        <v>13</v>
      </c>
      <c r="C10" s="3"/>
      <c r="D10" s="3"/>
      <c r="E10" s="3"/>
      <c r="F10" s="3"/>
      <c r="G10" s="29" t="s">
        <v>14</v>
      </c>
      <c r="H10" s="29" t="s">
        <v>13</v>
      </c>
      <c r="I10" s="3"/>
      <c r="J10" s="3"/>
      <c r="K10" s="3"/>
      <c r="L10" s="3"/>
    </row>
    <row r="11" ht="16.5" spans="1:12">
      <c r="A11" s="30" t="s">
        <v>15</v>
      </c>
      <c r="B11" s="30">
        <f>COUNTIF('03_功能清单'!$C$5:$C$100,"可用")</f>
        <v>13</v>
      </c>
      <c r="C11" s="3"/>
      <c r="D11" s="3"/>
      <c r="E11" s="3"/>
      <c r="F11" s="3"/>
      <c r="G11" s="30" t="s">
        <v>16</v>
      </c>
      <c r="H11" s="30">
        <f>COUNTIF('09_风险清单'!$B$5:$B$100,"P0")</f>
        <v>12</v>
      </c>
      <c r="I11" s="3"/>
      <c r="J11" s="3"/>
      <c r="K11" s="3"/>
      <c r="L11" s="3"/>
    </row>
    <row r="12" ht="16.5" spans="1:12">
      <c r="A12" s="30" t="s">
        <v>17</v>
      </c>
      <c r="B12" s="30">
        <f>COUNTIF('03_功能清单'!$C$5:$C$100,"待验证")</f>
        <v>29</v>
      </c>
      <c r="C12" s="3"/>
      <c r="D12" s="3"/>
      <c r="E12" s="3"/>
      <c r="F12" s="3"/>
      <c r="G12" s="30" t="s">
        <v>18</v>
      </c>
      <c r="H12" s="30">
        <f>COUNTIF('09_风险清单'!$B$5:$B$100,"P1")</f>
        <v>13</v>
      </c>
      <c r="I12" s="3"/>
      <c r="J12" s="3"/>
      <c r="K12" s="3"/>
      <c r="L12" s="3"/>
    </row>
    <row r="13" ht="16.5" spans="1:12">
      <c r="A13" s="30" t="s">
        <v>19</v>
      </c>
      <c r="B13" s="30">
        <f>COUNTIF('03_功能清单'!$C$5:$C$100,"开发中")</f>
        <v>8</v>
      </c>
      <c r="C13" s="3"/>
      <c r="D13" s="3"/>
      <c r="E13" s="3"/>
      <c r="F13" s="3"/>
      <c r="G13" s="30" t="s">
        <v>20</v>
      </c>
      <c r="H13" s="30">
        <f>COUNTIF('09_风险清单'!$B$5:$B$100,"P2")</f>
        <v>4</v>
      </c>
      <c r="I13" s="3"/>
      <c r="J13" s="3"/>
      <c r="K13" s="3"/>
      <c r="L13" s="3"/>
    </row>
    <row r="14" ht="16.5" spans="1:12">
      <c r="A14" s="30" t="s">
        <v>21</v>
      </c>
      <c r="B14" s="30">
        <f>COUNTIF('03_功能清单'!$C$5:$C$100,"有缺陷")</f>
        <v>5</v>
      </c>
      <c r="C14" s="3"/>
      <c r="D14" s="3"/>
      <c r="E14" s="3"/>
      <c r="F14" s="3"/>
      <c r="G14" s="30" t="s">
        <v>22</v>
      </c>
      <c r="H14" s="30">
        <f>COUNTIF('09_风险清单'!$B$5:$B$100,"P3")</f>
        <v>1</v>
      </c>
      <c r="I14" s="3"/>
      <c r="J14" s="3"/>
      <c r="K14" s="3"/>
      <c r="L14" s="3"/>
    </row>
    <row r="15" ht="16.5" spans="1:12">
      <c r="A15" s="30" t="s">
        <v>23</v>
      </c>
      <c r="B15" s="30">
        <f>COUNTIF('03_功能清单'!$C$5:$C$100,"未开始")</f>
        <v>3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6.5" spans="1:12">
      <c r="A16" s="30" t="s">
        <v>24</v>
      </c>
      <c r="B16" s="30">
        <f>COUNTIF('03_功能清单'!$C$5:$C$100,"暂停")</f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6.5" spans="1:12">
      <c r="A17" s="30" t="s">
        <v>25</v>
      </c>
      <c r="B17" s="30">
        <f>COUNTIF('03_功能清单'!$C$5:$C$100,"废弃")</f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6.5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6.5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6.5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6.5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6.5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24" customHeight="1" spans="1:12">
      <c r="A23" s="28" t="s">
        <v>26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ht="28" customHeight="1" spans="1:12">
      <c r="A24" s="31" t="s">
        <v>27</v>
      </c>
      <c r="B24" s="31" t="s">
        <v>28</v>
      </c>
      <c r="C24" s="31" t="s">
        <v>29</v>
      </c>
      <c r="D24" s="31" t="s">
        <v>30</v>
      </c>
      <c r="E24" s="31" t="s">
        <v>31</v>
      </c>
      <c r="F24" s="31" t="s">
        <v>31</v>
      </c>
      <c r="G24" s="31" t="s">
        <v>31</v>
      </c>
      <c r="H24" s="31" t="s">
        <v>31</v>
      </c>
      <c r="I24" s="31" t="s">
        <v>31</v>
      </c>
      <c r="J24" s="31" t="s">
        <v>31</v>
      </c>
      <c r="K24" s="31" t="s">
        <v>31</v>
      </c>
      <c r="L24" s="31" t="s">
        <v>31</v>
      </c>
    </row>
    <row r="25" ht="33" spans="1:12">
      <c r="A25" s="32" t="s">
        <v>32</v>
      </c>
      <c r="B25" s="32" t="s">
        <v>33</v>
      </c>
      <c r="C25" s="32" t="s">
        <v>34</v>
      </c>
      <c r="D25" s="32" t="s">
        <v>35</v>
      </c>
      <c r="E25" s="32" t="s">
        <v>31</v>
      </c>
      <c r="F25" s="32" t="s">
        <v>31</v>
      </c>
      <c r="G25" s="32" t="s">
        <v>31</v>
      </c>
      <c r="H25" s="32" t="s">
        <v>31</v>
      </c>
      <c r="I25" s="32" t="s">
        <v>31</v>
      </c>
      <c r="J25" s="32" t="s">
        <v>31</v>
      </c>
      <c r="K25" s="32" t="s">
        <v>31</v>
      </c>
      <c r="L25" s="32" t="s">
        <v>31</v>
      </c>
    </row>
    <row r="26" ht="33" spans="1:12">
      <c r="A26" s="32" t="s">
        <v>36</v>
      </c>
      <c r="B26" s="32" t="s">
        <v>37</v>
      </c>
      <c r="C26" s="32" t="s">
        <v>38</v>
      </c>
      <c r="D26" s="32" t="s">
        <v>39</v>
      </c>
      <c r="E26" s="32" t="s">
        <v>31</v>
      </c>
      <c r="F26" s="32" t="s">
        <v>31</v>
      </c>
      <c r="G26" s="32" t="s">
        <v>31</v>
      </c>
      <c r="H26" s="32" t="s">
        <v>31</v>
      </c>
      <c r="I26" s="32" t="s">
        <v>31</v>
      </c>
      <c r="J26" s="32" t="s">
        <v>31</v>
      </c>
      <c r="K26" s="32" t="s">
        <v>31</v>
      </c>
      <c r="L26" s="32" t="s">
        <v>31</v>
      </c>
    </row>
    <row r="27" ht="33" spans="1:12">
      <c r="A27" s="32" t="s">
        <v>40</v>
      </c>
      <c r="B27" s="32" t="s">
        <v>41</v>
      </c>
      <c r="C27" s="32" t="s">
        <v>42</v>
      </c>
      <c r="D27" s="32" t="s">
        <v>43</v>
      </c>
      <c r="E27" s="32" t="s">
        <v>31</v>
      </c>
      <c r="F27" s="32" t="s">
        <v>31</v>
      </c>
      <c r="G27" s="32" t="s">
        <v>31</v>
      </c>
      <c r="H27" s="32" t="s">
        <v>31</v>
      </c>
      <c r="I27" s="32" t="s">
        <v>31</v>
      </c>
      <c r="J27" s="32" t="s">
        <v>31</v>
      </c>
      <c r="K27" s="32" t="s">
        <v>31</v>
      </c>
      <c r="L27" s="32" t="s">
        <v>31</v>
      </c>
    </row>
    <row r="28" ht="33" spans="1:12">
      <c r="A28" s="32" t="s">
        <v>44</v>
      </c>
      <c r="B28" s="32" t="s">
        <v>45</v>
      </c>
      <c r="C28" s="32" t="s">
        <v>46</v>
      </c>
      <c r="D28" s="32" t="s">
        <v>47</v>
      </c>
      <c r="E28" s="32" t="s">
        <v>31</v>
      </c>
      <c r="F28" s="32" t="s">
        <v>31</v>
      </c>
      <c r="G28" s="32" t="s">
        <v>31</v>
      </c>
      <c r="H28" s="32" t="s">
        <v>31</v>
      </c>
      <c r="I28" s="32" t="s">
        <v>31</v>
      </c>
      <c r="J28" s="32" t="s">
        <v>31</v>
      </c>
      <c r="K28" s="32" t="s">
        <v>31</v>
      </c>
      <c r="L28" s="32" t="s">
        <v>31</v>
      </c>
    </row>
    <row r="29" ht="33" spans="1:12">
      <c r="A29" s="32" t="s">
        <v>48</v>
      </c>
      <c r="B29" s="32" t="s">
        <v>49</v>
      </c>
      <c r="C29" s="32" t="s">
        <v>50</v>
      </c>
      <c r="D29" s="32" t="s">
        <v>51</v>
      </c>
      <c r="E29" s="32" t="s">
        <v>31</v>
      </c>
      <c r="F29" s="32" t="s">
        <v>31</v>
      </c>
      <c r="G29" s="32" t="s">
        <v>31</v>
      </c>
      <c r="H29" s="32" t="s">
        <v>31</v>
      </c>
      <c r="I29" s="32" t="s">
        <v>31</v>
      </c>
      <c r="J29" s="32" t="s">
        <v>31</v>
      </c>
      <c r="K29" s="32" t="s">
        <v>31</v>
      </c>
      <c r="L29" s="32" t="s">
        <v>31</v>
      </c>
    </row>
  </sheetData>
  <mergeCells count="19">
    <mergeCell ref="A1:L1"/>
    <mergeCell ref="A2:L2"/>
    <mergeCell ref="A4:C4"/>
    <mergeCell ref="D4:F4"/>
    <mergeCell ref="G4:I4"/>
    <mergeCell ref="J4:L4"/>
    <mergeCell ref="A9:F9"/>
    <mergeCell ref="G9:L9"/>
    <mergeCell ref="A23:L23"/>
    <mergeCell ref="D24:L24"/>
    <mergeCell ref="D25:L25"/>
    <mergeCell ref="D26:L26"/>
    <mergeCell ref="D27:L27"/>
    <mergeCell ref="D28:L28"/>
    <mergeCell ref="D29:L29"/>
    <mergeCell ref="A5:C7"/>
    <mergeCell ref="D5:F7"/>
    <mergeCell ref="G5:I7"/>
    <mergeCell ref="J5:L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workbookViewId="0">
      <selection activeCell="A1" sqref="A1:F1"/>
    </sheetView>
  </sheetViews>
  <sheetFormatPr defaultColWidth="9" defaultRowHeight="14.25" outlineLevelCol="5"/>
  <cols>
    <col min="1" max="1" width="20" customWidth="1"/>
    <col min="2" max="2" width="52" customWidth="1"/>
    <col min="3" max="3" width="18" customWidth="1"/>
    <col min="4" max="4" width="38" customWidth="1"/>
  </cols>
  <sheetData>
    <row r="1" ht="34" customHeight="1" spans="1:6">
      <c r="A1" s="1" t="s">
        <v>52</v>
      </c>
      <c r="B1" s="1"/>
      <c r="C1" s="1"/>
      <c r="D1" s="1"/>
      <c r="E1" s="1"/>
      <c r="F1" s="19"/>
    </row>
    <row r="2" ht="26" customHeight="1" spans="1:6">
      <c r="A2" s="2" t="s">
        <v>53</v>
      </c>
      <c r="B2" s="2"/>
      <c r="C2" s="2"/>
      <c r="D2" s="2"/>
      <c r="E2" s="2"/>
      <c r="F2" s="2"/>
    </row>
    <row r="3" ht="16.5" spans="1:6">
      <c r="A3" s="3"/>
      <c r="B3" s="3"/>
      <c r="C3" s="3"/>
      <c r="D3" s="3"/>
      <c r="E3" s="3"/>
      <c r="F3" s="3"/>
    </row>
    <row r="4" ht="28" customHeight="1" spans="1:6">
      <c r="A4" s="4" t="s">
        <v>54</v>
      </c>
      <c r="B4" s="5" t="s">
        <v>55</v>
      </c>
      <c r="C4" s="5" t="s">
        <v>56</v>
      </c>
      <c r="D4" s="5" t="s">
        <v>57</v>
      </c>
      <c r="E4" s="3"/>
      <c r="F4" s="3"/>
    </row>
    <row r="5" ht="16.5" spans="1:6">
      <c r="A5" s="6" t="s">
        <v>58</v>
      </c>
      <c r="B5" s="7" t="s">
        <v>59</v>
      </c>
      <c r="C5" s="7" t="s">
        <v>60</v>
      </c>
      <c r="D5" s="7" t="s">
        <v>61</v>
      </c>
      <c r="E5" s="3"/>
      <c r="F5" s="3"/>
    </row>
    <row r="6" ht="16.5" spans="1:6">
      <c r="A6" s="6" t="s">
        <v>62</v>
      </c>
      <c r="B6" s="7" t="s">
        <v>63</v>
      </c>
      <c r="C6" s="7" t="s">
        <v>64</v>
      </c>
      <c r="D6" s="7" t="s">
        <v>65</v>
      </c>
      <c r="E6" s="3"/>
      <c r="F6" s="3"/>
    </row>
    <row r="7" ht="33" spans="1:6">
      <c r="A7" s="6" t="s">
        <v>66</v>
      </c>
      <c r="B7" s="7" t="s">
        <v>67</v>
      </c>
      <c r="C7" s="7" t="s">
        <v>68</v>
      </c>
      <c r="D7" s="7" t="s">
        <v>69</v>
      </c>
      <c r="E7" s="3"/>
      <c r="F7" s="3"/>
    </row>
    <row r="8" ht="33" spans="1:6">
      <c r="A8" s="6" t="s">
        <v>70</v>
      </c>
      <c r="B8" s="7" t="s">
        <v>71</v>
      </c>
      <c r="C8" s="7" t="s">
        <v>72</v>
      </c>
      <c r="D8" s="7" t="s">
        <v>73</v>
      </c>
      <c r="E8" s="3"/>
      <c r="F8" s="3"/>
    </row>
    <row r="9" ht="33" spans="1:6">
      <c r="A9" s="6" t="s">
        <v>74</v>
      </c>
      <c r="B9" s="7" t="s">
        <v>75</v>
      </c>
      <c r="C9" s="7" t="s">
        <v>76</v>
      </c>
      <c r="D9" s="7" t="s">
        <v>77</v>
      </c>
      <c r="E9" s="3"/>
      <c r="F9" s="3"/>
    </row>
    <row r="10" ht="49.5" spans="1:6">
      <c r="A10" s="6" t="s">
        <v>78</v>
      </c>
      <c r="B10" s="7" t="s">
        <v>79</v>
      </c>
      <c r="C10" s="7" t="s">
        <v>80</v>
      </c>
      <c r="D10" s="7" t="s">
        <v>81</v>
      </c>
      <c r="E10" s="3"/>
      <c r="F10" s="3"/>
    </row>
    <row r="11" ht="33" spans="1:6">
      <c r="A11" s="6" t="s">
        <v>82</v>
      </c>
      <c r="B11" s="7" t="s">
        <v>83</v>
      </c>
      <c r="C11" s="7" t="s">
        <v>84</v>
      </c>
      <c r="D11" s="7" t="s">
        <v>85</v>
      </c>
      <c r="E11" s="3"/>
      <c r="F11" s="3"/>
    </row>
    <row r="12" ht="33" spans="1:6">
      <c r="A12" s="6" t="s">
        <v>86</v>
      </c>
      <c r="B12" s="7" t="s">
        <v>87</v>
      </c>
      <c r="C12" s="7" t="s">
        <v>88</v>
      </c>
      <c r="D12" s="7" t="s">
        <v>89</v>
      </c>
      <c r="E12" s="3"/>
      <c r="F12" s="3"/>
    </row>
    <row r="13" ht="16.5" spans="1:6">
      <c r="A13" s="6" t="s">
        <v>90</v>
      </c>
      <c r="B13" s="7" t="s">
        <v>91</v>
      </c>
      <c r="C13" s="7" t="s">
        <v>92</v>
      </c>
      <c r="D13" s="7" t="s">
        <v>93</v>
      </c>
      <c r="E13" s="3"/>
      <c r="F13" s="3"/>
    </row>
    <row r="14" ht="33" spans="1:6">
      <c r="A14" s="6" t="s">
        <v>94</v>
      </c>
      <c r="B14" s="7" t="s">
        <v>95</v>
      </c>
      <c r="C14" s="7" t="s">
        <v>96</v>
      </c>
      <c r="D14" s="7" t="s">
        <v>97</v>
      </c>
      <c r="E14" s="3"/>
      <c r="F14" s="3"/>
    </row>
    <row r="15" ht="33" spans="1:6">
      <c r="A15" s="8" t="s">
        <v>98</v>
      </c>
      <c r="B15" s="9" t="s">
        <v>99</v>
      </c>
      <c r="C15" s="9" t="s">
        <v>100</v>
      </c>
      <c r="D15" s="9" t="s">
        <v>101</v>
      </c>
      <c r="E15" s="3"/>
      <c r="F15" s="3"/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showGridLines="0" workbookViewId="0">
      <selection activeCell="C22" sqref="C22"/>
    </sheetView>
  </sheetViews>
  <sheetFormatPr defaultColWidth="9" defaultRowHeight="14.25" outlineLevelCol="6"/>
  <cols>
    <col min="1" max="1" width="9" customWidth="1"/>
    <col min="2" max="3" width="20" customWidth="1"/>
    <col min="4" max="4" width="30" customWidth="1"/>
    <col min="5" max="5" width="40" customWidth="1"/>
    <col min="6" max="6" width="32" customWidth="1"/>
    <col min="7" max="7" width="42" customWidth="1"/>
  </cols>
  <sheetData>
    <row r="1" ht="34" customHeight="1" spans="1:7">
      <c r="A1" s="1" t="s">
        <v>102</v>
      </c>
      <c r="B1" s="1"/>
      <c r="C1" s="1"/>
      <c r="D1" s="1"/>
      <c r="E1" s="1"/>
      <c r="F1" s="1"/>
      <c r="G1" s="1"/>
    </row>
    <row r="2" ht="26" customHeight="1" spans="1:7">
      <c r="A2" s="2" t="s">
        <v>103</v>
      </c>
      <c r="B2" s="2"/>
      <c r="C2" s="2"/>
      <c r="D2" s="2"/>
      <c r="E2" s="2"/>
      <c r="F2" s="2"/>
      <c r="G2" s="2"/>
    </row>
    <row r="3" ht="16.5" spans="1:7">
      <c r="A3" s="3"/>
      <c r="B3" s="3"/>
      <c r="C3" s="3"/>
      <c r="D3" s="3"/>
      <c r="E3" s="3"/>
      <c r="F3" s="3"/>
      <c r="G3" s="3"/>
    </row>
    <row r="4" ht="28" customHeight="1" spans="1:7">
      <c r="A4" s="4" t="s">
        <v>104</v>
      </c>
      <c r="B4" s="5" t="s">
        <v>105</v>
      </c>
      <c r="C4" s="5" t="s">
        <v>106</v>
      </c>
      <c r="D4" s="5" t="s">
        <v>107</v>
      </c>
      <c r="E4" s="5" t="s">
        <v>108</v>
      </c>
      <c r="F4" s="5" t="s">
        <v>109</v>
      </c>
      <c r="G4" s="5" t="s">
        <v>110</v>
      </c>
    </row>
    <row r="5" ht="16.5" spans="1:7">
      <c r="A5" s="6" t="s">
        <v>111</v>
      </c>
      <c r="B5" s="7" t="s">
        <v>112</v>
      </c>
      <c r="C5" s="7" t="s">
        <v>113</v>
      </c>
      <c r="D5" s="7" t="s">
        <v>114</v>
      </c>
      <c r="E5" s="7" t="s">
        <v>115</v>
      </c>
      <c r="F5" s="7" t="s">
        <v>116</v>
      </c>
      <c r="G5" s="7" t="s">
        <v>117</v>
      </c>
    </row>
    <row r="6" ht="16.5" spans="1:7">
      <c r="A6" s="6" t="s">
        <v>118</v>
      </c>
      <c r="B6" s="7" t="s">
        <v>119</v>
      </c>
      <c r="C6" s="7" t="s">
        <v>120</v>
      </c>
      <c r="D6" s="7" t="s">
        <v>121</v>
      </c>
      <c r="E6" s="7" t="s">
        <v>122</v>
      </c>
      <c r="F6" s="7" t="s">
        <v>123</v>
      </c>
      <c r="G6" s="7" t="s">
        <v>124</v>
      </c>
    </row>
    <row r="7" ht="16.5" spans="1:7">
      <c r="A7" s="6" t="s">
        <v>125</v>
      </c>
      <c r="B7" s="7" t="s">
        <v>126</v>
      </c>
      <c r="C7" s="7" t="s">
        <v>127</v>
      </c>
      <c r="D7" s="7" t="s">
        <v>128</v>
      </c>
      <c r="E7" s="7" t="s">
        <v>129</v>
      </c>
      <c r="F7" s="7" t="s">
        <v>130</v>
      </c>
      <c r="G7" s="7" t="s">
        <v>131</v>
      </c>
    </row>
    <row r="8" ht="16.5" spans="1:7">
      <c r="A8" s="6" t="s">
        <v>132</v>
      </c>
      <c r="B8" s="7" t="s">
        <v>133</v>
      </c>
      <c r="C8" s="7" t="s">
        <v>113</v>
      </c>
      <c r="D8" s="7" t="s">
        <v>134</v>
      </c>
      <c r="E8" s="7" t="s">
        <v>135</v>
      </c>
      <c r="F8" s="7" t="s">
        <v>136</v>
      </c>
      <c r="G8" s="7" t="s">
        <v>137</v>
      </c>
    </row>
    <row r="9" ht="16.5" spans="1:7">
      <c r="A9" s="6" t="s">
        <v>138</v>
      </c>
      <c r="B9" s="7" t="s">
        <v>139</v>
      </c>
      <c r="C9" s="7" t="s">
        <v>140</v>
      </c>
      <c r="D9" s="7" t="s">
        <v>141</v>
      </c>
      <c r="E9" s="7" t="s">
        <v>142</v>
      </c>
      <c r="F9" s="7" t="s">
        <v>143</v>
      </c>
      <c r="G9" s="7" t="s">
        <v>144</v>
      </c>
    </row>
    <row r="10" ht="16.5" spans="1:7">
      <c r="A10" s="6" t="s">
        <v>145</v>
      </c>
      <c r="B10" s="7" t="s">
        <v>146</v>
      </c>
      <c r="C10" s="7" t="s">
        <v>147</v>
      </c>
      <c r="D10" s="7" t="s">
        <v>148</v>
      </c>
      <c r="E10" s="7" t="s">
        <v>149</v>
      </c>
      <c r="F10" s="7" t="s">
        <v>150</v>
      </c>
      <c r="G10" s="7" t="s">
        <v>151</v>
      </c>
    </row>
    <row r="11" ht="16.5" spans="1:7">
      <c r="A11" s="6" t="s">
        <v>152</v>
      </c>
      <c r="B11" s="7" t="s">
        <v>153</v>
      </c>
      <c r="C11" s="7" t="s">
        <v>154</v>
      </c>
      <c r="D11" s="7" t="s">
        <v>155</v>
      </c>
      <c r="E11" s="7" t="s">
        <v>156</v>
      </c>
      <c r="F11" s="7" t="s">
        <v>157</v>
      </c>
      <c r="G11" s="7" t="s">
        <v>158</v>
      </c>
    </row>
    <row r="12" ht="16.5" spans="1:7">
      <c r="A12" s="6" t="s">
        <v>159</v>
      </c>
      <c r="B12" s="7" t="s">
        <v>160</v>
      </c>
      <c r="C12" s="7" t="s">
        <v>147</v>
      </c>
      <c r="D12" s="7" t="s">
        <v>161</v>
      </c>
      <c r="E12" s="7" t="s">
        <v>162</v>
      </c>
      <c r="F12" s="7" t="s">
        <v>163</v>
      </c>
      <c r="G12" s="7" t="s">
        <v>164</v>
      </c>
    </row>
    <row r="13" ht="33" spans="1:7">
      <c r="A13" s="6" t="s">
        <v>165</v>
      </c>
      <c r="B13" s="7" t="s">
        <v>166</v>
      </c>
      <c r="C13" s="7" t="s">
        <v>167</v>
      </c>
      <c r="D13" s="7" t="s">
        <v>168</v>
      </c>
      <c r="E13" s="7" t="s">
        <v>169</v>
      </c>
      <c r="F13" s="7" t="s">
        <v>170</v>
      </c>
      <c r="G13" s="7" t="s">
        <v>171</v>
      </c>
    </row>
    <row r="14" ht="16.5" spans="1:7">
      <c r="A14" s="6" t="s">
        <v>172</v>
      </c>
      <c r="B14" s="7" t="s">
        <v>173</v>
      </c>
      <c r="C14" s="7" t="s">
        <v>174</v>
      </c>
      <c r="D14" s="7" t="s">
        <v>175</v>
      </c>
      <c r="E14" s="7" t="s">
        <v>176</v>
      </c>
      <c r="F14" s="7" t="s">
        <v>177</v>
      </c>
      <c r="G14" s="7" t="s">
        <v>178</v>
      </c>
    </row>
    <row r="15" ht="33" spans="1:7">
      <c r="A15" s="6" t="s">
        <v>179</v>
      </c>
      <c r="B15" s="7" t="s">
        <v>180</v>
      </c>
      <c r="C15" s="7" t="s">
        <v>154</v>
      </c>
      <c r="D15" s="7" t="s">
        <v>181</v>
      </c>
      <c r="E15" s="7" t="s">
        <v>182</v>
      </c>
      <c r="F15" s="7" t="s">
        <v>183</v>
      </c>
      <c r="G15" s="7" t="s">
        <v>184</v>
      </c>
    </row>
    <row r="16" ht="16.5" spans="1:7">
      <c r="A16" s="6" t="s">
        <v>185</v>
      </c>
      <c r="B16" s="7" t="s">
        <v>186</v>
      </c>
      <c r="C16" s="7" t="s">
        <v>147</v>
      </c>
      <c r="D16" s="7" t="s">
        <v>187</v>
      </c>
      <c r="E16" s="7" t="s">
        <v>188</v>
      </c>
      <c r="F16" s="7" t="s">
        <v>189</v>
      </c>
      <c r="G16" s="7" t="s">
        <v>190</v>
      </c>
    </row>
    <row r="17" ht="33" spans="1:7">
      <c r="A17" s="6" t="s">
        <v>191</v>
      </c>
      <c r="B17" s="7" t="s">
        <v>192</v>
      </c>
      <c r="C17" s="7" t="s">
        <v>147</v>
      </c>
      <c r="D17" s="7" t="s">
        <v>193</v>
      </c>
      <c r="E17" s="7" t="s">
        <v>194</v>
      </c>
      <c r="F17" s="7" t="s">
        <v>195</v>
      </c>
      <c r="G17" s="7" t="s">
        <v>196</v>
      </c>
    </row>
    <row r="18" ht="16.5" spans="1:7">
      <c r="A18" s="8" t="s">
        <v>197</v>
      </c>
      <c r="B18" s="9" t="s">
        <v>198</v>
      </c>
      <c r="C18" s="9" t="s">
        <v>147</v>
      </c>
      <c r="D18" s="9" t="s">
        <v>199</v>
      </c>
      <c r="E18" s="9" t="s">
        <v>200</v>
      </c>
      <c r="F18" s="9" t="s">
        <v>201</v>
      </c>
      <c r="G18" s="9" t="s">
        <v>202</v>
      </c>
    </row>
  </sheetData>
  <mergeCells count="2">
    <mergeCell ref="A1:G1"/>
    <mergeCell ref="A2:G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showGridLines="0" tabSelected="1" workbookViewId="0">
      <selection activeCell="I3" sqref="I3"/>
    </sheetView>
  </sheetViews>
  <sheetFormatPr defaultColWidth="9" defaultRowHeight="14.25" outlineLevelCol="6"/>
  <cols>
    <col min="1" max="1" width="18" customWidth="1"/>
    <col min="2" max="2" width="28" customWidth="1"/>
    <col min="3" max="4" width="12" customWidth="1"/>
    <col min="5" max="5" width="54" customWidth="1"/>
    <col min="6" max="6" width="10" customWidth="1"/>
    <col min="7" max="7" width="32" customWidth="1"/>
  </cols>
  <sheetData>
    <row r="1" ht="34" customHeight="1" spans="1:7">
      <c r="A1" s="1" t="s">
        <v>203</v>
      </c>
      <c r="B1" s="1"/>
      <c r="C1" s="1"/>
      <c r="D1" s="1"/>
      <c r="E1" s="1"/>
      <c r="F1" s="1"/>
      <c r="G1" s="1"/>
    </row>
    <row r="2" ht="26" customHeight="1" spans="1:7">
      <c r="A2" s="2" t="s">
        <v>204</v>
      </c>
      <c r="B2" s="2"/>
      <c r="C2" s="2"/>
      <c r="D2" s="2"/>
      <c r="E2" s="2"/>
      <c r="F2" s="2"/>
      <c r="G2" s="2"/>
    </row>
    <row r="3" ht="16.5" spans="1:7">
      <c r="A3" s="3"/>
      <c r="B3" s="3"/>
      <c r="C3" s="3"/>
      <c r="D3" s="3"/>
      <c r="E3" s="3"/>
      <c r="F3" s="3"/>
      <c r="G3" s="3"/>
    </row>
    <row r="4" ht="28" customHeight="1" spans="1:7">
      <c r="A4" s="4" t="s">
        <v>205</v>
      </c>
      <c r="B4" s="5" t="s">
        <v>206</v>
      </c>
      <c r="C4" s="5" t="s">
        <v>12</v>
      </c>
      <c r="D4" s="5" t="s">
        <v>207</v>
      </c>
      <c r="E4" s="5" t="s">
        <v>208</v>
      </c>
      <c r="F4" s="5" t="s">
        <v>209</v>
      </c>
      <c r="G4" s="5" t="s">
        <v>210</v>
      </c>
    </row>
    <row r="5" ht="16.5" hidden="1" spans="1:7">
      <c r="A5" s="6" t="s">
        <v>211</v>
      </c>
      <c r="B5" s="7" t="s">
        <v>212</v>
      </c>
      <c r="C5" s="15" t="s">
        <v>15</v>
      </c>
      <c r="D5" s="7" t="s">
        <v>213</v>
      </c>
      <c r="E5" s="7" t="s">
        <v>214</v>
      </c>
      <c r="F5" s="12" t="s">
        <v>18</v>
      </c>
      <c r="G5" s="7" t="s">
        <v>215</v>
      </c>
    </row>
    <row r="6" ht="16.5" hidden="1" spans="1:7">
      <c r="A6" s="6" t="s">
        <v>211</v>
      </c>
      <c r="B6" s="7" t="s">
        <v>216</v>
      </c>
      <c r="C6" s="15" t="s">
        <v>15</v>
      </c>
      <c r="D6" s="7" t="s">
        <v>213</v>
      </c>
      <c r="E6" s="7" t="s">
        <v>217</v>
      </c>
      <c r="F6" s="12" t="s">
        <v>18</v>
      </c>
      <c r="G6" s="7" t="s">
        <v>218</v>
      </c>
    </row>
    <row r="7" ht="16.5" hidden="1" spans="1:7">
      <c r="A7" s="6" t="s">
        <v>211</v>
      </c>
      <c r="B7" s="7" t="s">
        <v>219</v>
      </c>
      <c r="C7" s="15" t="s">
        <v>15</v>
      </c>
      <c r="D7" s="7" t="s">
        <v>213</v>
      </c>
      <c r="E7" s="7" t="s">
        <v>220</v>
      </c>
      <c r="F7" s="12" t="s">
        <v>18</v>
      </c>
      <c r="G7" s="7" t="s">
        <v>221</v>
      </c>
    </row>
    <row r="8" ht="16.5" hidden="1" spans="1:7">
      <c r="A8" s="6" t="s">
        <v>211</v>
      </c>
      <c r="B8" s="7" t="s">
        <v>222</v>
      </c>
      <c r="C8" s="15" t="s">
        <v>15</v>
      </c>
      <c r="D8" s="7" t="s">
        <v>213</v>
      </c>
      <c r="E8" s="7" t="s">
        <v>223</v>
      </c>
      <c r="F8" s="13" t="s">
        <v>20</v>
      </c>
      <c r="G8" s="7" t="s">
        <v>224</v>
      </c>
    </row>
    <row r="9" ht="16.5" spans="1:7">
      <c r="A9" s="6" t="s">
        <v>225</v>
      </c>
      <c r="B9" s="7" t="s">
        <v>226</v>
      </c>
      <c r="C9" s="15" t="s">
        <v>15</v>
      </c>
      <c r="D9" s="7" t="s">
        <v>213</v>
      </c>
      <c r="E9" s="7" t="s">
        <v>227</v>
      </c>
      <c r="F9" s="10" t="s">
        <v>16</v>
      </c>
      <c r="G9" s="7" t="s">
        <v>228</v>
      </c>
    </row>
    <row r="10" ht="16.5" hidden="1" spans="1:7">
      <c r="A10" s="6" t="s">
        <v>225</v>
      </c>
      <c r="B10" s="7" t="s">
        <v>229</v>
      </c>
      <c r="C10" s="15" t="s">
        <v>15</v>
      </c>
      <c r="D10" s="7" t="s">
        <v>213</v>
      </c>
      <c r="E10" s="7" t="s">
        <v>230</v>
      </c>
      <c r="F10" s="12" t="s">
        <v>18</v>
      </c>
      <c r="G10" s="7" t="s">
        <v>231</v>
      </c>
    </row>
    <row r="11" ht="16.5" hidden="1" spans="1:7">
      <c r="A11" s="6" t="s">
        <v>225</v>
      </c>
      <c r="B11" s="7" t="s">
        <v>232</v>
      </c>
      <c r="C11" s="15" t="s">
        <v>15</v>
      </c>
      <c r="D11" s="7" t="s">
        <v>213</v>
      </c>
      <c r="E11" s="7" t="s">
        <v>233</v>
      </c>
      <c r="F11" s="12" t="s">
        <v>18</v>
      </c>
      <c r="G11" s="7" t="s">
        <v>234</v>
      </c>
    </row>
    <row r="12" ht="16.5" hidden="1" spans="1:7">
      <c r="A12" s="6" t="s">
        <v>225</v>
      </c>
      <c r="B12" s="7" t="s">
        <v>235</v>
      </c>
      <c r="C12" s="15" t="s">
        <v>15</v>
      </c>
      <c r="D12" s="7" t="s">
        <v>213</v>
      </c>
      <c r="E12" s="7" t="s">
        <v>236</v>
      </c>
      <c r="F12" s="12" t="s">
        <v>18</v>
      </c>
      <c r="G12" s="7" t="s">
        <v>237</v>
      </c>
    </row>
    <row r="13" ht="16.5" hidden="1" spans="1:7">
      <c r="A13" s="6" t="s">
        <v>225</v>
      </c>
      <c r="B13" s="7" t="s">
        <v>238</v>
      </c>
      <c r="C13" s="13" t="s">
        <v>17</v>
      </c>
      <c r="D13" s="7" t="s">
        <v>239</v>
      </c>
      <c r="E13" s="7" t="s">
        <v>240</v>
      </c>
      <c r="F13" s="12" t="s">
        <v>18</v>
      </c>
      <c r="G13" s="7" t="s">
        <v>241</v>
      </c>
    </row>
    <row r="14" ht="16.5" hidden="1" spans="1:7">
      <c r="A14" s="6" t="s">
        <v>225</v>
      </c>
      <c r="B14" s="7" t="s">
        <v>242</v>
      </c>
      <c r="C14" s="13" t="s">
        <v>17</v>
      </c>
      <c r="D14" s="7" t="s">
        <v>239</v>
      </c>
      <c r="E14" s="7" t="s">
        <v>243</v>
      </c>
      <c r="F14" s="12" t="s">
        <v>18</v>
      </c>
      <c r="G14" s="7" t="s">
        <v>244</v>
      </c>
    </row>
    <row r="15" ht="16.5" hidden="1" spans="1:7">
      <c r="A15" s="6" t="s">
        <v>225</v>
      </c>
      <c r="B15" s="7" t="s">
        <v>245</v>
      </c>
      <c r="C15" s="13" t="s">
        <v>17</v>
      </c>
      <c r="D15" s="7" t="s">
        <v>239</v>
      </c>
      <c r="E15" s="7" t="s">
        <v>246</v>
      </c>
      <c r="F15" s="12" t="s">
        <v>18</v>
      </c>
      <c r="G15" s="7" t="s">
        <v>247</v>
      </c>
    </row>
    <row r="16" ht="16.5" hidden="1" spans="1:7">
      <c r="A16" s="6" t="s">
        <v>248</v>
      </c>
      <c r="B16" s="7" t="s">
        <v>249</v>
      </c>
      <c r="C16" s="15" t="s">
        <v>15</v>
      </c>
      <c r="D16" s="7" t="s">
        <v>213</v>
      </c>
      <c r="E16" s="7" t="s">
        <v>250</v>
      </c>
      <c r="F16" s="13" t="s">
        <v>20</v>
      </c>
      <c r="G16" s="7" t="s">
        <v>251</v>
      </c>
    </row>
    <row r="17" ht="16.5" hidden="1" spans="1:7">
      <c r="A17" s="6" t="s">
        <v>248</v>
      </c>
      <c r="B17" s="7" t="s">
        <v>252</v>
      </c>
      <c r="C17" s="13" t="s">
        <v>17</v>
      </c>
      <c r="D17" s="7" t="s">
        <v>239</v>
      </c>
      <c r="E17" s="7" t="s">
        <v>253</v>
      </c>
      <c r="F17" s="13" t="s">
        <v>20</v>
      </c>
      <c r="G17" s="7" t="s">
        <v>254</v>
      </c>
    </row>
    <row r="18" ht="16.5" hidden="1" spans="1:7">
      <c r="A18" s="6" t="s">
        <v>248</v>
      </c>
      <c r="B18" s="7" t="s">
        <v>255</v>
      </c>
      <c r="C18" s="13" t="s">
        <v>17</v>
      </c>
      <c r="D18" s="7" t="s">
        <v>239</v>
      </c>
      <c r="E18" s="7" t="s">
        <v>256</v>
      </c>
      <c r="F18" s="12" t="s">
        <v>18</v>
      </c>
      <c r="G18" s="7" t="s">
        <v>257</v>
      </c>
    </row>
    <row r="19" ht="16.5" hidden="1" spans="1:7">
      <c r="A19" s="6" t="s">
        <v>248</v>
      </c>
      <c r="B19" s="7" t="s">
        <v>258</v>
      </c>
      <c r="C19" s="13" t="s">
        <v>17</v>
      </c>
      <c r="D19" s="7" t="s">
        <v>239</v>
      </c>
      <c r="E19" s="7" t="s">
        <v>259</v>
      </c>
      <c r="F19" s="12" t="s">
        <v>18</v>
      </c>
      <c r="G19" s="7" t="s">
        <v>260</v>
      </c>
    </row>
    <row r="20" ht="16.5" hidden="1" spans="1:7">
      <c r="A20" s="6" t="s">
        <v>261</v>
      </c>
      <c r="B20" s="7" t="s">
        <v>262</v>
      </c>
      <c r="C20" s="13" t="s">
        <v>17</v>
      </c>
      <c r="D20" s="7" t="s">
        <v>239</v>
      </c>
      <c r="E20" s="7" t="s">
        <v>263</v>
      </c>
      <c r="F20" s="12" t="s">
        <v>18</v>
      </c>
      <c r="G20" s="7" t="s">
        <v>264</v>
      </c>
    </row>
    <row r="21" ht="16.5" hidden="1" spans="1:7">
      <c r="A21" s="6" t="s">
        <v>261</v>
      </c>
      <c r="B21" s="7" t="s">
        <v>265</v>
      </c>
      <c r="C21" s="15" t="s">
        <v>15</v>
      </c>
      <c r="D21" s="7" t="s">
        <v>213</v>
      </c>
      <c r="E21" s="7" t="s">
        <v>266</v>
      </c>
      <c r="F21" s="13" t="s">
        <v>20</v>
      </c>
      <c r="G21" s="7" t="s">
        <v>267</v>
      </c>
    </row>
    <row r="22" ht="16.5" hidden="1" spans="1:7">
      <c r="A22" s="6" t="s">
        <v>261</v>
      </c>
      <c r="B22" s="7" t="s">
        <v>268</v>
      </c>
      <c r="C22" s="13" t="s">
        <v>17</v>
      </c>
      <c r="D22" s="7" t="s">
        <v>239</v>
      </c>
      <c r="E22" s="7" t="s">
        <v>269</v>
      </c>
      <c r="F22" s="13" t="s">
        <v>20</v>
      </c>
      <c r="G22" s="7" t="s">
        <v>270</v>
      </c>
    </row>
    <row r="23" ht="16.5" hidden="1" spans="1:7">
      <c r="A23" s="6" t="s">
        <v>271</v>
      </c>
      <c r="B23" s="7" t="s">
        <v>272</v>
      </c>
      <c r="C23" s="13" t="s">
        <v>17</v>
      </c>
      <c r="D23" s="7" t="s">
        <v>239</v>
      </c>
      <c r="E23" s="7" t="s">
        <v>273</v>
      </c>
      <c r="F23" s="12" t="s">
        <v>18</v>
      </c>
      <c r="G23" s="7" t="s">
        <v>274</v>
      </c>
    </row>
    <row r="24" ht="16.5" hidden="1" spans="1:7">
      <c r="A24" s="6" t="s">
        <v>271</v>
      </c>
      <c r="B24" s="7" t="s">
        <v>275</v>
      </c>
      <c r="C24" s="11" t="s">
        <v>19</v>
      </c>
      <c r="D24" s="7" t="s">
        <v>239</v>
      </c>
      <c r="E24" s="7" t="s">
        <v>276</v>
      </c>
      <c r="F24" s="12" t="s">
        <v>18</v>
      </c>
      <c r="G24" s="7" t="s">
        <v>277</v>
      </c>
    </row>
    <row r="25" ht="16.5" hidden="1" spans="1:7">
      <c r="A25" s="6" t="s">
        <v>271</v>
      </c>
      <c r="B25" s="7" t="s">
        <v>278</v>
      </c>
      <c r="C25" s="13" t="s">
        <v>17</v>
      </c>
      <c r="D25" s="7" t="s">
        <v>239</v>
      </c>
      <c r="E25" s="7" t="s">
        <v>279</v>
      </c>
      <c r="F25" s="13" t="s">
        <v>20</v>
      </c>
      <c r="G25" s="7" t="s">
        <v>280</v>
      </c>
    </row>
    <row r="26" ht="16.5" hidden="1" spans="1:7">
      <c r="A26" s="6" t="s">
        <v>281</v>
      </c>
      <c r="B26" s="7" t="s">
        <v>282</v>
      </c>
      <c r="C26" s="13" t="s">
        <v>17</v>
      </c>
      <c r="D26" s="7" t="s">
        <v>239</v>
      </c>
      <c r="E26" s="7" t="s">
        <v>283</v>
      </c>
      <c r="F26" s="12" t="s">
        <v>18</v>
      </c>
      <c r="G26" s="7" t="s">
        <v>284</v>
      </c>
    </row>
    <row r="27" ht="16.5" hidden="1" spans="1:7">
      <c r="A27" s="6" t="s">
        <v>281</v>
      </c>
      <c r="B27" s="7" t="s">
        <v>285</v>
      </c>
      <c r="C27" s="11" t="s">
        <v>19</v>
      </c>
      <c r="D27" s="7" t="s">
        <v>239</v>
      </c>
      <c r="E27" s="7" t="s">
        <v>286</v>
      </c>
      <c r="F27" s="12" t="s">
        <v>18</v>
      </c>
      <c r="G27" s="7" t="s">
        <v>287</v>
      </c>
    </row>
    <row r="28" ht="16.5" hidden="1" spans="1:7">
      <c r="A28" s="6" t="s">
        <v>288</v>
      </c>
      <c r="B28" s="7" t="s">
        <v>289</v>
      </c>
      <c r="C28" s="13" t="s">
        <v>17</v>
      </c>
      <c r="D28" s="7" t="s">
        <v>239</v>
      </c>
      <c r="E28" s="7" t="s">
        <v>290</v>
      </c>
      <c r="F28" s="12" t="s">
        <v>18</v>
      </c>
      <c r="G28" s="7" t="s">
        <v>291</v>
      </c>
    </row>
    <row r="29" ht="16.5" hidden="1" spans="1:7">
      <c r="A29" s="6" t="s">
        <v>292</v>
      </c>
      <c r="B29" s="7" t="s">
        <v>293</v>
      </c>
      <c r="C29" s="15" t="s">
        <v>15</v>
      </c>
      <c r="D29" s="7" t="s">
        <v>213</v>
      </c>
      <c r="E29" s="7" t="s">
        <v>294</v>
      </c>
      <c r="F29" s="12" t="s">
        <v>18</v>
      </c>
      <c r="G29" s="7" t="s">
        <v>295</v>
      </c>
    </row>
    <row r="30" ht="16.5" hidden="1" spans="1:7">
      <c r="A30" s="6" t="s">
        <v>292</v>
      </c>
      <c r="B30" s="7" t="s">
        <v>296</v>
      </c>
      <c r="C30" s="15" t="s">
        <v>15</v>
      </c>
      <c r="D30" s="7" t="s">
        <v>213</v>
      </c>
      <c r="E30" s="7" t="s">
        <v>297</v>
      </c>
      <c r="F30" s="12" t="s">
        <v>18</v>
      </c>
      <c r="G30" s="7" t="s">
        <v>298</v>
      </c>
    </row>
    <row r="31" ht="16.5" hidden="1" spans="1:7">
      <c r="A31" s="6" t="s">
        <v>292</v>
      </c>
      <c r="B31" s="7" t="s">
        <v>299</v>
      </c>
      <c r="C31" s="13" t="s">
        <v>17</v>
      </c>
      <c r="D31" s="7" t="s">
        <v>239</v>
      </c>
      <c r="E31" s="7" t="s">
        <v>300</v>
      </c>
      <c r="F31" s="12" t="s">
        <v>18</v>
      </c>
      <c r="G31" s="7" t="s">
        <v>280</v>
      </c>
    </row>
    <row r="32" ht="16.5" hidden="1" spans="1:7">
      <c r="A32" s="6" t="s">
        <v>292</v>
      </c>
      <c r="B32" s="7" t="s">
        <v>301</v>
      </c>
      <c r="C32" s="13" t="s">
        <v>17</v>
      </c>
      <c r="D32" s="7" t="s">
        <v>239</v>
      </c>
      <c r="E32" s="7" t="s">
        <v>302</v>
      </c>
      <c r="F32" s="13" t="s">
        <v>20</v>
      </c>
      <c r="G32" s="7" t="s">
        <v>303</v>
      </c>
    </row>
    <row r="33" ht="16.5" hidden="1" spans="1:7">
      <c r="A33" s="6" t="s">
        <v>304</v>
      </c>
      <c r="B33" s="7" t="s">
        <v>305</v>
      </c>
      <c r="C33" s="15" t="s">
        <v>15</v>
      </c>
      <c r="D33" s="7" t="s">
        <v>213</v>
      </c>
      <c r="E33" s="7" t="s">
        <v>306</v>
      </c>
      <c r="F33" s="12" t="s">
        <v>18</v>
      </c>
      <c r="G33" s="7" t="s">
        <v>307</v>
      </c>
    </row>
    <row r="34" ht="16.5" spans="1:7">
      <c r="A34" s="6" t="s">
        <v>304</v>
      </c>
      <c r="B34" s="7" t="s">
        <v>308</v>
      </c>
      <c r="C34" s="10" t="s">
        <v>21</v>
      </c>
      <c r="D34" s="7" t="s">
        <v>239</v>
      </c>
      <c r="E34" s="7" t="s">
        <v>309</v>
      </c>
      <c r="F34" s="10" t="s">
        <v>16</v>
      </c>
      <c r="G34" s="7" t="s">
        <v>287</v>
      </c>
    </row>
    <row r="35" ht="16.5" spans="1:7">
      <c r="A35" s="6" t="s">
        <v>310</v>
      </c>
      <c r="B35" s="7" t="s">
        <v>311</v>
      </c>
      <c r="C35" s="10" t="s">
        <v>21</v>
      </c>
      <c r="D35" s="7" t="s">
        <v>312</v>
      </c>
      <c r="E35" s="7" t="s">
        <v>313</v>
      </c>
      <c r="F35" s="10" t="s">
        <v>16</v>
      </c>
      <c r="G35" s="7" t="s">
        <v>314</v>
      </c>
    </row>
    <row r="36" ht="16.5" hidden="1" spans="1:7">
      <c r="A36" s="6" t="s">
        <v>315</v>
      </c>
      <c r="B36" s="7" t="s">
        <v>316</v>
      </c>
      <c r="C36" s="13" t="s">
        <v>17</v>
      </c>
      <c r="D36" s="7" t="s">
        <v>239</v>
      </c>
      <c r="E36" s="7" t="s">
        <v>317</v>
      </c>
      <c r="F36" s="12" t="s">
        <v>18</v>
      </c>
      <c r="G36" s="7" t="s">
        <v>318</v>
      </c>
    </row>
    <row r="37" ht="16.5" spans="1:7">
      <c r="A37" s="6" t="s">
        <v>315</v>
      </c>
      <c r="B37" s="7" t="s">
        <v>319</v>
      </c>
      <c r="C37" s="11" t="s">
        <v>19</v>
      </c>
      <c r="D37" s="7" t="s">
        <v>239</v>
      </c>
      <c r="E37" s="7" t="s">
        <v>320</v>
      </c>
      <c r="F37" s="10" t="s">
        <v>16</v>
      </c>
      <c r="G37" s="7" t="s">
        <v>321</v>
      </c>
    </row>
    <row r="38" ht="16.5" hidden="1" spans="1:7">
      <c r="A38" s="6" t="s">
        <v>315</v>
      </c>
      <c r="B38" s="7" t="s">
        <v>322</v>
      </c>
      <c r="C38" s="11" t="s">
        <v>19</v>
      </c>
      <c r="D38" s="7" t="s">
        <v>239</v>
      </c>
      <c r="E38" s="7" t="s">
        <v>323</v>
      </c>
      <c r="F38" s="12" t="s">
        <v>18</v>
      </c>
      <c r="G38" s="7" t="s">
        <v>324</v>
      </c>
    </row>
    <row r="39" ht="16.5" spans="1:7">
      <c r="A39" s="6" t="s">
        <v>315</v>
      </c>
      <c r="B39" s="7" t="s">
        <v>325</v>
      </c>
      <c r="C39" s="11" t="s">
        <v>19</v>
      </c>
      <c r="D39" s="7" t="s">
        <v>239</v>
      </c>
      <c r="E39" s="7" t="s">
        <v>326</v>
      </c>
      <c r="F39" s="10" t="s">
        <v>16</v>
      </c>
      <c r="G39" s="7" t="s">
        <v>318</v>
      </c>
    </row>
    <row r="40" ht="16.5" hidden="1" spans="1:7">
      <c r="A40" s="6" t="s">
        <v>315</v>
      </c>
      <c r="B40" s="7" t="s">
        <v>327</v>
      </c>
      <c r="C40" s="11" t="s">
        <v>19</v>
      </c>
      <c r="D40" s="7" t="s">
        <v>239</v>
      </c>
      <c r="E40" s="7" t="s">
        <v>328</v>
      </c>
      <c r="F40" s="12" t="s">
        <v>18</v>
      </c>
      <c r="G40" s="7" t="s">
        <v>329</v>
      </c>
    </row>
    <row r="41" ht="16.5" spans="1:7">
      <c r="A41" s="6" t="s">
        <v>315</v>
      </c>
      <c r="B41" s="7" t="s">
        <v>330</v>
      </c>
      <c r="C41" s="13" t="s">
        <v>17</v>
      </c>
      <c r="D41" s="7" t="s">
        <v>239</v>
      </c>
      <c r="E41" s="7" t="s">
        <v>331</v>
      </c>
      <c r="F41" s="10" t="s">
        <v>16</v>
      </c>
      <c r="G41" s="7" t="s">
        <v>332</v>
      </c>
    </row>
    <row r="42" ht="16.5" hidden="1" spans="1:7">
      <c r="A42" s="6" t="s">
        <v>333</v>
      </c>
      <c r="B42" s="7" t="s">
        <v>334</v>
      </c>
      <c r="C42" s="13" t="s">
        <v>17</v>
      </c>
      <c r="D42" s="7" t="s">
        <v>239</v>
      </c>
      <c r="E42" s="7" t="s">
        <v>335</v>
      </c>
      <c r="F42" s="12" t="s">
        <v>18</v>
      </c>
      <c r="G42" s="7" t="s">
        <v>336</v>
      </c>
    </row>
    <row r="43" ht="16.5" hidden="1" spans="1:7">
      <c r="A43" s="6" t="s">
        <v>333</v>
      </c>
      <c r="B43" s="7" t="s">
        <v>337</v>
      </c>
      <c r="C43" s="11" t="s">
        <v>19</v>
      </c>
      <c r="D43" s="7" t="s">
        <v>239</v>
      </c>
      <c r="E43" s="7" t="s">
        <v>338</v>
      </c>
      <c r="F43" s="12" t="s">
        <v>18</v>
      </c>
      <c r="G43" s="7" t="s">
        <v>339</v>
      </c>
    </row>
    <row r="44" ht="16.5" spans="1:7">
      <c r="A44" s="6" t="s">
        <v>333</v>
      </c>
      <c r="B44" s="7" t="s">
        <v>340</v>
      </c>
      <c r="C44" s="13" t="s">
        <v>17</v>
      </c>
      <c r="D44" s="7" t="s">
        <v>239</v>
      </c>
      <c r="E44" s="7" t="s">
        <v>341</v>
      </c>
      <c r="F44" s="10" t="s">
        <v>16</v>
      </c>
      <c r="G44" s="7" t="s">
        <v>342</v>
      </c>
    </row>
    <row r="45" ht="16.5" hidden="1" spans="1:7">
      <c r="A45" s="6" t="s">
        <v>333</v>
      </c>
      <c r="B45" s="7" t="s">
        <v>343</v>
      </c>
      <c r="C45" s="13" t="s">
        <v>17</v>
      </c>
      <c r="D45" s="7" t="s">
        <v>239</v>
      </c>
      <c r="E45" s="7" t="s">
        <v>344</v>
      </c>
      <c r="F45" s="12" t="s">
        <v>18</v>
      </c>
      <c r="G45" s="7" t="s">
        <v>345</v>
      </c>
    </row>
    <row r="46" ht="16.5" hidden="1" spans="1:7">
      <c r="A46" s="6" t="s">
        <v>333</v>
      </c>
      <c r="B46" s="7" t="s">
        <v>346</v>
      </c>
      <c r="C46" s="11" t="s">
        <v>19</v>
      </c>
      <c r="D46" s="7" t="s">
        <v>239</v>
      </c>
      <c r="E46" s="7" t="s">
        <v>347</v>
      </c>
      <c r="F46" s="12" t="s">
        <v>18</v>
      </c>
      <c r="G46" s="7" t="s">
        <v>348</v>
      </c>
    </row>
    <row r="47" ht="16.5" hidden="1" spans="1:7">
      <c r="A47" s="6" t="s">
        <v>333</v>
      </c>
      <c r="B47" s="7" t="s">
        <v>349</v>
      </c>
      <c r="C47" s="16" t="s">
        <v>23</v>
      </c>
      <c r="D47" s="7" t="s">
        <v>312</v>
      </c>
      <c r="E47" s="7" t="s">
        <v>350</v>
      </c>
      <c r="F47" s="12" t="s">
        <v>18</v>
      </c>
      <c r="G47" s="7" t="s">
        <v>351</v>
      </c>
    </row>
    <row r="48" ht="16.5" spans="1:7">
      <c r="A48" s="6" t="s">
        <v>352</v>
      </c>
      <c r="B48" s="7" t="s">
        <v>353</v>
      </c>
      <c r="C48" s="13" t="s">
        <v>17</v>
      </c>
      <c r="D48" s="7" t="s">
        <v>239</v>
      </c>
      <c r="E48" s="7" t="s">
        <v>354</v>
      </c>
      <c r="F48" s="10" t="s">
        <v>16</v>
      </c>
      <c r="G48" s="7" t="s">
        <v>355</v>
      </c>
    </row>
    <row r="49" ht="16.5" spans="1:7">
      <c r="A49" s="6" t="s">
        <v>352</v>
      </c>
      <c r="B49" s="7" t="s">
        <v>356</v>
      </c>
      <c r="C49" s="13" t="s">
        <v>17</v>
      </c>
      <c r="D49" s="7" t="s">
        <v>239</v>
      </c>
      <c r="E49" s="7" t="s">
        <v>357</v>
      </c>
      <c r="F49" s="10" t="s">
        <v>16</v>
      </c>
      <c r="G49" s="7" t="s">
        <v>358</v>
      </c>
    </row>
    <row r="50" ht="16.5" spans="1:7">
      <c r="A50" s="6" t="s">
        <v>359</v>
      </c>
      <c r="B50" s="7" t="s">
        <v>360</v>
      </c>
      <c r="C50" s="13" t="s">
        <v>17</v>
      </c>
      <c r="D50" s="7" t="s">
        <v>239</v>
      </c>
      <c r="E50" s="7" t="s">
        <v>361</v>
      </c>
      <c r="F50" s="10" t="s">
        <v>16</v>
      </c>
      <c r="G50" s="7" t="s">
        <v>362</v>
      </c>
    </row>
    <row r="51" ht="16.5" hidden="1" spans="1:7">
      <c r="A51" s="6" t="s">
        <v>359</v>
      </c>
      <c r="B51" s="7" t="s">
        <v>363</v>
      </c>
      <c r="C51" s="13" t="s">
        <v>17</v>
      </c>
      <c r="D51" s="7" t="s">
        <v>239</v>
      </c>
      <c r="E51" s="7" t="s">
        <v>364</v>
      </c>
      <c r="F51" s="12" t="s">
        <v>18</v>
      </c>
      <c r="G51" s="7" t="s">
        <v>365</v>
      </c>
    </row>
    <row r="52" ht="16.5" hidden="1" spans="1:7">
      <c r="A52" s="6" t="s">
        <v>366</v>
      </c>
      <c r="B52" s="7" t="s">
        <v>367</v>
      </c>
      <c r="C52" s="13" t="s">
        <v>17</v>
      </c>
      <c r="D52" s="7" t="s">
        <v>239</v>
      </c>
      <c r="E52" s="7" t="s">
        <v>368</v>
      </c>
      <c r="F52" s="12" t="s">
        <v>18</v>
      </c>
      <c r="G52" s="7" t="s">
        <v>369</v>
      </c>
    </row>
    <row r="53" ht="16.5" spans="1:7">
      <c r="A53" s="6" t="s">
        <v>366</v>
      </c>
      <c r="B53" s="7" t="s">
        <v>370</v>
      </c>
      <c r="C53" s="13" t="s">
        <v>17</v>
      </c>
      <c r="D53" s="7" t="s">
        <v>239</v>
      </c>
      <c r="E53" s="7" t="s">
        <v>371</v>
      </c>
      <c r="F53" s="10" t="s">
        <v>16</v>
      </c>
      <c r="G53" s="7" t="s">
        <v>362</v>
      </c>
    </row>
    <row r="54" ht="16.5" spans="1:7">
      <c r="A54" s="6" t="s">
        <v>366</v>
      </c>
      <c r="B54" s="7" t="s">
        <v>372</v>
      </c>
      <c r="C54" s="13" t="s">
        <v>17</v>
      </c>
      <c r="D54" s="7" t="s">
        <v>239</v>
      </c>
      <c r="E54" s="7" t="s">
        <v>373</v>
      </c>
      <c r="F54" s="10" t="s">
        <v>16</v>
      </c>
      <c r="G54" s="7" t="s">
        <v>280</v>
      </c>
    </row>
    <row r="55" ht="16.5" spans="1:7">
      <c r="A55" s="6" t="s">
        <v>366</v>
      </c>
      <c r="B55" s="7" t="s">
        <v>374</v>
      </c>
      <c r="C55" s="13" t="s">
        <v>17</v>
      </c>
      <c r="D55" s="7" t="s">
        <v>239</v>
      </c>
      <c r="E55" s="7" t="s">
        <v>375</v>
      </c>
      <c r="F55" s="10" t="s">
        <v>16</v>
      </c>
      <c r="G55" s="7" t="s">
        <v>376</v>
      </c>
    </row>
    <row r="56" ht="16.5" spans="1:7">
      <c r="A56" s="6" t="s">
        <v>377</v>
      </c>
      <c r="B56" s="7" t="s">
        <v>378</v>
      </c>
      <c r="C56" s="13" t="s">
        <v>17</v>
      </c>
      <c r="D56" s="7" t="s">
        <v>239</v>
      </c>
      <c r="E56" s="7" t="s">
        <v>379</v>
      </c>
      <c r="F56" s="10" t="s">
        <v>16</v>
      </c>
      <c r="G56" s="7" t="s">
        <v>380</v>
      </c>
    </row>
    <row r="57" ht="16.5" spans="1:7">
      <c r="A57" s="6" t="s">
        <v>377</v>
      </c>
      <c r="B57" s="7" t="s">
        <v>381</v>
      </c>
      <c r="C57" s="13" t="s">
        <v>17</v>
      </c>
      <c r="D57" s="7" t="s">
        <v>239</v>
      </c>
      <c r="E57" s="7" t="s">
        <v>382</v>
      </c>
      <c r="F57" s="10" t="s">
        <v>16</v>
      </c>
      <c r="G57" s="7" t="s">
        <v>383</v>
      </c>
    </row>
    <row r="58" ht="16.5" spans="1:7">
      <c r="A58" s="6" t="s">
        <v>384</v>
      </c>
      <c r="B58" s="7" t="s">
        <v>385</v>
      </c>
      <c r="C58" s="10" t="s">
        <v>21</v>
      </c>
      <c r="D58" s="7" t="s">
        <v>312</v>
      </c>
      <c r="E58" s="7" t="s">
        <v>386</v>
      </c>
      <c r="F58" s="10" t="s">
        <v>16</v>
      </c>
      <c r="G58" s="7" t="s">
        <v>387</v>
      </c>
    </row>
    <row r="59" ht="16.5" spans="1:7">
      <c r="A59" s="6" t="s">
        <v>384</v>
      </c>
      <c r="B59" s="7" t="s">
        <v>388</v>
      </c>
      <c r="C59" s="10" t="s">
        <v>21</v>
      </c>
      <c r="D59" s="7" t="s">
        <v>312</v>
      </c>
      <c r="E59" s="7" t="s">
        <v>389</v>
      </c>
      <c r="F59" s="10" t="s">
        <v>16</v>
      </c>
      <c r="G59" s="7" t="s">
        <v>390</v>
      </c>
    </row>
    <row r="60" ht="16.5" spans="1:7">
      <c r="A60" s="6" t="s">
        <v>384</v>
      </c>
      <c r="B60" s="7" t="s">
        <v>391</v>
      </c>
      <c r="C60" s="10" t="s">
        <v>21</v>
      </c>
      <c r="D60" s="7" t="s">
        <v>312</v>
      </c>
      <c r="E60" s="7" t="s">
        <v>392</v>
      </c>
      <c r="F60" s="10" t="s">
        <v>16</v>
      </c>
      <c r="G60" s="7" t="s">
        <v>393</v>
      </c>
    </row>
    <row r="61" ht="16.5" spans="1:7">
      <c r="A61" s="6" t="s">
        <v>394</v>
      </c>
      <c r="B61" s="7" t="s">
        <v>395</v>
      </c>
      <c r="C61" s="16" t="s">
        <v>23</v>
      </c>
      <c r="D61" s="7" t="s">
        <v>312</v>
      </c>
      <c r="E61" s="7" t="s">
        <v>396</v>
      </c>
      <c r="F61" s="10" t="s">
        <v>16</v>
      </c>
      <c r="G61" s="7" t="s">
        <v>397</v>
      </c>
    </row>
    <row r="62" ht="16.5" hidden="1" spans="1:7">
      <c r="A62" s="8" t="s">
        <v>394</v>
      </c>
      <c r="B62" s="9" t="s">
        <v>398</v>
      </c>
      <c r="C62" s="17" t="s">
        <v>23</v>
      </c>
      <c r="D62" s="9" t="s">
        <v>312</v>
      </c>
      <c r="E62" s="9" t="s">
        <v>399</v>
      </c>
      <c r="F62" s="18" t="s">
        <v>18</v>
      </c>
      <c r="G62" s="9" t="s">
        <v>96</v>
      </c>
    </row>
  </sheetData>
  <mergeCells count="2">
    <mergeCell ref="A1:G1"/>
    <mergeCell ref="A2:G2"/>
  </mergeCells>
  <dataValidations count="2">
    <dataValidation type="list" sqref="C5:C62">
      <formula1>"未开始,开发中,待验证,可用,有缺陷,暂停,废弃"</formula1>
    </dataValidation>
    <dataValidation type="list" sqref="F5:F62">
      <formula1>"P0,P1,P2,P3"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GridLines="0" workbookViewId="0">
      <selection activeCell="J2" sqref="J2"/>
    </sheetView>
  </sheetViews>
  <sheetFormatPr defaultColWidth="9" defaultRowHeight="14.25" outlineLevelCol="5"/>
  <cols>
    <col min="1" max="1" width="14" customWidth="1"/>
    <col min="2" max="2" width="20" customWidth="1"/>
    <col min="3" max="3" width="50" customWidth="1"/>
    <col min="4" max="4" width="46" customWidth="1"/>
    <col min="5" max="5" width="10" customWidth="1"/>
    <col min="6" max="6" width="24" customWidth="1"/>
  </cols>
  <sheetData>
    <row r="1" ht="34" customHeight="1" spans="1:6">
      <c r="A1" s="1" t="s">
        <v>400</v>
      </c>
      <c r="B1" s="1"/>
      <c r="C1" s="1"/>
      <c r="D1" s="1"/>
      <c r="E1" s="1"/>
      <c r="F1" s="1"/>
    </row>
    <row r="2" ht="26" customHeight="1" spans="1:6">
      <c r="A2" s="2" t="s">
        <v>401</v>
      </c>
      <c r="B2" s="2"/>
      <c r="C2" s="2"/>
      <c r="D2" s="2"/>
      <c r="E2" s="2"/>
      <c r="F2" s="2"/>
    </row>
    <row r="3" ht="16.5" spans="1:6">
      <c r="A3" s="3"/>
      <c r="B3" s="3"/>
      <c r="C3" s="3"/>
      <c r="D3" s="3"/>
      <c r="E3" s="3"/>
      <c r="F3" s="3"/>
    </row>
    <row r="4" ht="28" customHeight="1" spans="1:6">
      <c r="A4" s="4" t="s">
        <v>402</v>
      </c>
      <c r="B4" s="5" t="s">
        <v>403</v>
      </c>
      <c r="C4" s="5" t="s">
        <v>404</v>
      </c>
      <c r="D4" s="5" t="s">
        <v>405</v>
      </c>
      <c r="E4" s="5" t="s">
        <v>209</v>
      </c>
      <c r="F4" s="5" t="s">
        <v>406</v>
      </c>
    </row>
    <row r="5" ht="33" spans="1:6">
      <c r="A5" s="6" t="s">
        <v>407</v>
      </c>
      <c r="B5" s="7" t="s">
        <v>408</v>
      </c>
      <c r="C5" s="7" t="s">
        <v>409</v>
      </c>
      <c r="D5" s="7" t="s">
        <v>410</v>
      </c>
      <c r="E5" s="7" t="s">
        <v>16</v>
      </c>
      <c r="F5" s="7" t="s">
        <v>411</v>
      </c>
    </row>
    <row r="6" ht="16.5" spans="1:6">
      <c r="A6" s="6" t="s">
        <v>407</v>
      </c>
      <c r="B6" s="7" t="s">
        <v>412</v>
      </c>
      <c r="C6" s="7" t="s">
        <v>413</v>
      </c>
      <c r="D6" s="7" t="s">
        <v>414</v>
      </c>
      <c r="E6" s="7" t="s">
        <v>16</v>
      </c>
      <c r="F6" s="7" t="s">
        <v>415</v>
      </c>
    </row>
    <row r="7" ht="33" spans="1:6">
      <c r="A7" s="6" t="s">
        <v>407</v>
      </c>
      <c r="B7" s="7" t="s">
        <v>416</v>
      </c>
      <c r="C7" s="7" t="s">
        <v>417</v>
      </c>
      <c r="D7" s="7" t="s">
        <v>418</v>
      </c>
      <c r="E7" s="7" t="s">
        <v>16</v>
      </c>
      <c r="F7" s="7" t="s">
        <v>419</v>
      </c>
    </row>
    <row r="8" ht="16.5" spans="1:6">
      <c r="A8" s="6" t="s">
        <v>407</v>
      </c>
      <c r="B8" s="7" t="s">
        <v>420</v>
      </c>
      <c r="C8" s="7" t="s">
        <v>421</v>
      </c>
      <c r="D8" s="7" t="s">
        <v>422</v>
      </c>
      <c r="E8" s="7" t="s">
        <v>16</v>
      </c>
      <c r="F8" s="7" t="s">
        <v>423</v>
      </c>
    </row>
    <row r="9" ht="33" spans="1:6">
      <c r="A9" s="6" t="s">
        <v>424</v>
      </c>
      <c r="B9" s="7" t="s">
        <v>425</v>
      </c>
      <c r="C9" s="7" t="s">
        <v>426</v>
      </c>
      <c r="D9" s="7" t="s">
        <v>427</v>
      </c>
      <c r="E9" s="7" t="s">
        <v>16</v>
      </c>
      <c r="F9" s="7" t="s">
        <v>428</v>
      </c>
    </row>
    <row r="10" ht="33" spans="1:6">
      <c r="A10" s="6" t="s">
        <v>429</v>
      </c>
      <c r="B10" s="7" t="s">
        <v>430</v>
      </c>
      <c r="C10" s="7" t="s">
        <v>431</v>
      </c>
      <c r="D10" s="7" t="s">
        <v>432</v>
      </c>
      <c r="E10" s="7" t="s">
        <v>16</v>
      </c>
      <c r="F10" s="7" t="s">
        <v>433</v>
      </c>
    </row>
    <row r="11" ht="33" spans="1:6">
      <c r="A11" s="6" t="s">
        <v>429</v>
      </c>
      <c r="B11" s="7" t="s">
        <v>434</v>
      </c>
      <c r="C11" s="7" t="s">
        <v>435</v>
      </c>
      <c r="D11" s="7" t="s">
        <v>436</v>
      </c>
      <c r="E11" s="7" t="s">
        <v>18</v>
      </c>
      <c r="F11" s="7" t="s">
        <v>437</v>
      </c>
    </row>
    <row r="12" ht="33" spans="1:6">
      <c r="A12" s="6" t="s">
        <v>429</v>
      </c>
      <c r="B12" s="7" t="s">
        <v>438</v>
      </c>
      <c r="C12" s="7" t="s">
        <v>439</v>
      </c>
      <c r="D12" s="7" t="s">
        <v>440</v>
      </c>
      <c r="E12" s="7" t="s">
        <v>16</v>
      </c>
      <c r="F12" s="7" t="s">
        <v>441</v>
      </c>
    </row>
    <row r="13" ht="16.5" spans="1:6">
      <c r="A13" s="6" t="s">
        <v>442</v>
      </c>
      <c r="B13" s="7" t="s">
        <v>443</v>
      </c>
      <c r="C13" s="7" t="s">
        <v>444</v>
      </c>
      <c r="D13" s="7" t="s">
        <v>445</v>
      </c>
      <c r="E13" s="7" t="s">
        <v>16</v>
      </c>
      <c r="F13" s="7" t="s">
        <v>446</v>
      </c>
    </row>
    <row r="14" ht="16.5" spans="1:6">
      <c r="A14" s="6" t="s">
        <v>292</v>
      </c>
      <c r="B14" s="7" t="s">
        <v>447</v>
      </c>
      <c r="C14" s="7" t="s">
        <v>448</v>
      </c>
      <c r="D14" s="7" t="s">
        <v>449</v>
      </c>
      <c r="E14" s="7" t="s">
        <v>16</v>
      </c>
      <c r="F14" s="7" t="s">
        <v>450</v>
      </c>
    </row>
    <row r="15" ht="16.5" spans="1:6">
      <c r="A15" s="6" t="s">
        <v>451</v>
      </c>
      <c r="B15" s="7" t="s">
        <v>452</v>
      </c>
      <c r="C15" s="7" t="s">
        <v>453</v>
      </c>
      <c r="D15" s="7" t="s">
        <v>454</v>
      </c>
      <c r="E15" s="7" t="s">
        <v>16</v>
      </c>
      <c r="F15" s="7" t="s">
        <v>455</v>
      </c>
    </row>
    <row r="16" ht="16.5" spans="1:6">
      <c r="A16" s="6" t="s">
        <v>456</v>
      </c>
      <c r="B16" s="7" t="s">
        <v>457</v>
      </c>
      <c r="C16" s="7" t="s">
        <v>458</v>
      </c>
      <c r="D16" s="7" t="s">
        <v>459</v>
      </c>
      <c r="E16" s="7" t="s">
        <v>16</v>
      </c>
      <c r="F16" s="7" t="s">
        <v>460</v>
      </c>
    </row>
    <row r="17" ht="33" spans="1:6">
      <c r="A17" s="6" t="s">
        <v>461</v>
      </c>
      <c r="B17" s="7" t="s">
        <v>462</v>
      </c>
      <c r="C17" s="7" t="s">
        <v>463</v>
      </c>
      <c r="D17" s="7" t="s">
        <v>464</v>
      </c>
      <c r="E17" s="7" t="s">
        <v>16</v>
      </c>
      <c r="F17" s="7" t="s">
        <v>465</v>
      </c>
    </row>
    <row r="18" ht="16.5" spans="1:6">
      <c r="A18" s="6" t="s">
        <v>461</v>
      </c>
      <c r="B18" s="7" t="s">
        <v>466</v>
      </c>
      <c r="C18" s="7" t="s">
        <v>467</v>
      </c>
      <c r="D18" s="7" t="s">
        <v>468</v>
      </c>
      <c r="E18" s="7" t="s">
        <v>16</v>
      </c>
      <c r="F18" s="7" t="s">
        <v>469</v>
      </c>
    </row>
    <row r="19" ht="33" spans="1:6">
      <c r="A19" s="6" t="s">
        <v>470</v>
      </c>
      <c r="B19" s="7" t="s">
        <v>471</v>
      </c>
      <c r="C19" s="7" t="s">
        <v>472</v>
      </c>
      <c r="D19" s="7" t="s">
        <v>473</v>
      </c>
      <c r="E19" s="7" t="s">
        <v>16</v>
      </c>
      <c r="F19" s="7" t="s">
        <v>474</v>
      </c>
    </row>
    <row r="20" ht="16.5" spans="1:6">
      <c r="A20" s="6" t="s">
        <v>475</v>
      </c>
      <c r="B20" s="7" t="s">
        <v>476</v>
      </c>
      <c r="C20" s="7" t="s">
        <v>477</v>
      </c>
      <c r="D20" s="7" t="s">
        <v>478</v>
      </c>
      <c r="E20" s="7" t="s">
        <v>18</v>
      </c>
      <c r="F20" s="7" t="s">
        <v>479</v>
      </c>
    </row>
    <row r="21" ht="16.5" spans="1:6">
      <c r="A21" s="6" t="s">
        <v>480</v>
      </c>
      <c r="B21" s="7" t="s">
        <v>481</v>
      </c>
      <c r="C21" s="7" t="s">
        <v>482</v>
      </c>
      <c r="D21" s="7" t="s">
        <v>483</v>
      </c>
      <c r="E21" s="7" t="s">
        <v>16</v>
      </c>
      <c r="F21" s="7" t="s">
        <v>484</v>
      </c>
    </row>
    <row r="22" ht="16.5" spans="1:6">
      <c r="A22" s="6" t="s">
        <v>485</v>
      </c>
      <c r="B22" s="7" t="s">
        <v>486</v>
      </c>
      <c r="C22" s="7" t="s">
        <v>487</v>
      </c>
      <c r="D22" s="7" t="s">
        <v>488</v>
      </c>
      <c r="E22" s="7" t="s">
        <v>18</v>
      </c>
      <c r="F22" s="7" t="s">
        <v>489</v>
      </c>
    </row>
    <row r="23" ht="16.5" spans="1:6">
      <c r="A23" s="8" t="s">
        <v>490</v>
      </c>
      <c r="B23" s="9" t="s">
        <v>491</v>
      </c>
      <c r="C23" s="9" t="s">
        <v>492</v>
      </c>
      <c r="D23" s="9" t="s">
        <v>493</v>
      </c>
      <c r="E23" s="9" t="s">
        <v>16</v>
      </c>
      <c r="F23" s="9" t="s">
        <v>494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selection activeCell="A1" sqref="A1:F1"/>
    </sheetView>
  </sheetViews>
  <sheetFormatPr defaultColWidth="9" defaultRowHeight="14.25" outlineLevelCol="5"/>
  <cols>
    <col min="1" max="1" width="16" customWidth="1"/>
    <col min="2" max="3" width="32" customWidth="1"/>
    <col min="4" max="4" width="34" customWidth="1"/>
    <col min="5" max="5" width="44" customWidth="1"/>
  </cols>
  <sheetData>
    <row r="1" ht="34" customHeight="1" spans="1:6">
      <c r="A1" s="1" t="s">
        <v>495</v>
      </c>
      <c r="B1" s="1"/>
      <c r="C1" s="1"/>
      <c r="D1" s="1"/>
      <c r="E1" s="1"/>
      <c r="F1" s="1"/>
    </row>
    <row r="2" ht="26" customHeight="1" spans="1:6">
      <c r="A2" s="2" t="s">
        <v>496</v>
      </c>
      <c r="B2" s="2"/>
      <c r="C2" s="2"/>
      <c r="D2" s="2"/>
      <c r="E2" s="2"/>
      <c r="F2" s="2"/>
    </row>
    <row r="3" ht="16.5" spans="1:6">
      <c r="A3" s="3"/>
      <c r="B3" s="3"/>
      <c r="C3" s="3"/>
      <c r="D3" s="3"/>
      <c r="E3" s="3"/>
      <c r="F3" s="3"/>
    </row>
    <row r="4" ht="28" customHeight="1" spans="1:6">
      <c r="A4" s="4" t="s">
        <v>497</v>
      </c>
      <c r="B4" s="5" t="s">
        <v>498</v>
      </c>
      <c r="C4" s="5" t="s">
        <v>499</v>
      </c>
      <c r="D4" s="5" t="s">
        <v>500</v>
      </c>
      <c r="E4" s="5" t="s">
        <v>501</v>
      </c>
      <c r="F4" s="3"/>
    </row>
    <row r="5" ht="33" spans="1:6">
      <c r="A5" s="6" t="s">
        <v>502</v>
      </c>
      <c r="B5" s="7" t="s">
        <v>503</v>
      </c>
      <c r="C5" s="7" t="s">
        <v>504</v>
      </c>
      <c r="D5" s="7" t="s">
        <v>505</v>
      </c>
      <c r="E5" s="7" t="s">
        <v>506</v>
      </c>
      <c r="F5" s="3"/>
    </row>
    <row r="6" ht="16.5" spans="1:6">
      <c r="A6" s="6" t="s">
        <v>507</v>
      </c>
      <c r="B6" s="7" t="s">
        <v>508</v>
      </c>
      <c r="C6" s="7" t="s">
        <v>509</v>
      </c>
      <c r="D6" s="7" t="s">
        <v>510</v>
      </c>
      <c r="E6" s="7" t="s">
        <v>511</v>
      </c>
      <c r="F6" s="3"/>
    </row>
    <row r="7" ht="33" spans="1:6">
      <c r="A7" s="6" t="s">
        <v>512</v>
      </c>
      <c r="B7" s="7" t="s">
        <v>513</v>
      </c>
      <c r="C7" s="7" t="s">
        <v>514</v>
      </c>
      <c r="D7" s="7" t="s">
        <v>515</v>
      </c>
      <c r="E7" s="7" t="s">
        <v>516</v>
      </c>
      <c r="F7" s="3"/>
    </row>
    <row r="8" ht="16.5" spans="1:6">
      <c r="A8" s="6" t="s">
        <v>517</v>
      </c>
      <c r="B8" s="7" t="s">
        <v>518</v>
      </c>
      <c r="C8" s="7" t="s">
        <v>519</v>
      </c>
      <c r="D8" s="7" t="s">
        <v>520</v>
      </c>
      <c r="E8" s="7" t="s">
        <v>521</v>
      </c>
      <c r="F8" s="3"/>
    </row>
    <row r="9" ht="16.5" spans="1:6">
      <c r="A9" s="6" t="s">
        <v>522</v>
      </c>
      <c r="B9" s="7" t="s">
        <v>523</v>
      </c>
      <c r="C9" s="7" t="s">
        <v>524</v>
      </c>
      <c r="D9" s="7" t="s">
        <v>525</v>
      </c>
      <c r="E9" s="7" t="s">
        <v>526</v>
      </c>
      <c r="F9" s="3"/>
    </row>
    <row r="10" ht="33" spans="1:6">
      <c r="A10" s="6" t="s">
        <v>527</v>
      </c>
      <c r="B10" s="7" t="s">
        <v>528</v>
      </c>
      <c r="C10" s="7" t="s">
        <v>529</v>
      </c>
      <c r="D10" s="7" t="s">
        <v>530</v>
      </c>
      <c r="E10" s="7" t="s">
        <v>531</v>
      </c>
      <c r="F10" s="3"/>
    </row>
    <row r="11" ht="16.5" spans="1:6">
      <c r="A11" s="6" t="s">
        <v>532</v>
      </c>
      <c r="B11" s="7" t="s">
        <v>533</v>
      </c>
      <c r="C11" s="7" t="s">
        <v>534</v>
      </c>
      <c r="D11" s="7" t="s">
        <v>535</v>
      </c>
      <c r="E11" s="7" t="s">
        <v>536</v>
      </c>
      <c r="F11" s="3"/>
    </row>
    <row r="12" ht="16.5" spans="1:6">
      <c r="A12" s="6" t="s">
        <v>532</v>
      </c>
      <c r="B12" s="7" t="s">
        <v>537</v>
      </c>
      <c r="C12" s="7" t="s">
        <v>538</v>
      </c>
      <c r="D12" s="7" t="s">
        <v>539</v>
      </c>
      <c r="E12" s="7" t="s">
        <v>540</v>
      </c>
      <c r="F12" s="3"/>
    </row>
    <row r="13" ht="33" spans="1:6">
      <c r="A13" s="6" t="s">
        <v>532</v>
      </c>
      <c r="B13" s="7" t="s">
        <v>541</v>
      </c>
      <c r="C13" s="7" t="s">
        <v>342</v>
      </c>
      <c r="D13" s="7" t="s">
        <v>542</v>
      </c>
      <c r="E13" s="7" t="s">
        <v>543</v>
      </c>
      <c r="F13" s="3"/>
    </row>
    <row r="14" ht="16.5" spans="1:6">
      <c r="A14" s="6" t="s">
        <v>532</v>
      </c>
      <c r="B14" s="7" t="s">
        <v>544</v>
      </c>
      <c r="C14" s="7" t="s">
        <v>270</v>
      </c>
      <c r="D14" s="7" t="s">
        <v>545</v>
      </c>
      <c r="E14" s="7" t="s">
        <v>546</v>
      </c>
      <c r="F14" s="3"/>
    </row>
    <row r="15" ht="33" spans="1:6">
      <c r="A15" s="6" t="s">
        <v>547</v>
      </c>
      <c r="B15" s="7" t="s">
        <v>548</v>
      </c>
      <c r="C15" s="7" t="s">
        <v>549</v>
      </c>
      <c r="D15" s="7" t="s">
        <v>550</v>
      </c>
      <c r="E15" s="7" t="s">
        <v>551</v>
      </c>
      <c r="F15" s="3"/>
    </row>
    <row r="16" ht="33" spans="1:6">
      <c r="A16" s="8" t="s">
        <v>377</v>
      </c>
      <c r="B16" s="9" t="s">
        <v>552</v>
      </c>
      <c r="C16" s="9" t="s">
        <v>553</v>
      </c>
      <c r="D16" s="9" t="s">
        <v>554</v>
      </c>
      <c r="E16" s="9" t="s">
        <v>555</v>
      </c>
      <c r="F16" s="3"/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showGridLines="0" workbookViewId="0">
      <selection activeCell="A1" sqref="A1:G1"/>
    </sheetView>
  </sheetViews>
  <sheetFormatPr defaultColWidth="9" defaultRowHeight="14.25" outlineLevelCol="6"/>
  <cols>
    <col min="1" max="1" width="28" customWidth="1"/>
    <col min="2" max="2" width="24" customWidth="1"/>
    <col min="3" max="3" width="14" customWidth="1"/>
    <col min="4" max="4" width="42" customWidth="1"/>
    <col min="5" max="5" width="28" customWidth="1"/>
    <col min="6" max="6" width="30" customWidth="1"/>
    <col min="7" max="7" width="20" customWidth="1"/>
  </cols>
  <sheetData>
    <row r="1" ht="34" customHeight="1" spans="1:7">
      <c r="A1" s="1" t="s">
        <v>556</v>
      </c>
      <c r="B1" s="1"/>
      <c r="C1" s="1"/>
      <c r="D1" s="1"/>
      <c r="E1" s="1"/>
      <c r="F1" s="1"/>
      <c r="G1" s="1"/>
    </row>
    <row r="2" ht="26" customHeight="1" spans="1:7">
      <c r="A2" s="2" t="s">
        <v>557</v>
      </c>
      <c r="B2" s="2"/>
      <c r="C2" s="2"/>
      <c r="D2" s="2"/>
      <c r="E2" s="2"/>
      <c r="F2" s="2"/>
      <c r="G2" s="2"/>
    </row>
    <row r="3" ht="16.5" spans="1:7">
      <c r="A3" s="3"/>
      <c r="B3" s="3"/>
      <c r="C3" s="3"/>
      <c r="D3" s="3"/>
      <c r="E3" s="3"/>
      <c r="F3" s="3"/>
      <c r="G3" s="3"/>
    </row>
    <row r="4" ht="28" customHeight="1" spans="1:7">
      <c r="A4" s="4" t="s">
        <v>558</v>
      </c>
      <c r="B4" s="5" t="s">
        <v>559</v>
      </c>
      <c r="C4" s="5" t="s">
        <v>560</v>
      </c>
      <c r="D4" s="5" t="s">
        <v>561</v>
      </c>
      <c r="E4" s="5" t="s">
        <v>562</v>
      </c>
      <c r="F4" s="5" t="s">
        <v>563</v>
      </c>
      <c r="G4" s="5" t="s">
        <v>57</v>
      </c>
    </row>
    <row r="5" ht="16.5" spans="1:7">
      <c r="A5" s="6" t="s">
        <v>564</v>
      </c>
      <c r="B5" s="7" t="s">
        <v>565</v>
      </c>
      <c r="C5" s="7" t="s">
        <v>36</v>
      </c>
      <c r="D5" s="7" t="s">
        <v>566</v>
      </c>
      <c r="E5" s="7" t="s">
        <v>567</v>
      </c>
      <c r="F5" s="7" t="s">
        <v>568</v>
      </c>
      <c r="G5" s="7" t="s">
        <v>569</v>
      </c>
    </row>
    <row r="6" ht="16.5" spans="1:7">
      <c r="A6" s="6" t="s">
        <v>570</v>
      </c>
      <c r="B6" s="7" t="s">
        <v>571</v>
      </c>
      <c r="C6" s="7" t="s">
        <v>572</v>
      </c>
      <c r="D6" s="7" t="s">
        <v>573</v>
      </c>
      <c r="E6" s="7" t="s">
        <v>574</v>
      </c>
      <c r="F6" s="7" t="s">
        <v>575</v>
      </c>
      <c r="G6" s="7" t="s">
        <v>569</v>
      </c>
    </row>
    <row r="7" ht="16.5" spans="1:7">
      <c r="A7" s="6" t="s">
        <v>576</v>
      </c>
      <c r="B7" s="7" t="s">
        <v>226</v>
      </c>
      <c r="C7" s="7" t="s">
        <v>577</v>
      </c>
      <c r="D7" s="7" t="s">
        <v>578</v>
      </c>
      <c r="E7" s="7" t="s">
        <v>579</v>
      </c>
      <c r="F7" s="7" t="s">
        <v>580</v>
      </c>
      <c r="G7" s="7" t="s">
        <v>569</v>
      </c>
    </row>
    <row r="8" ht="16.5" spans="1:7">
      <c r="A8" s="6" t="s">
        <v>581</v>
      </c>
      <c r="B8" s="7" t="s">
        <v>229</v>
      </c>
      <c r="C8" s="7" t="s">
        <v>582</v>
      </c>
      <c r="D8" s="7" t="s">
        <v>583</v>
      </c>
      <c r="E8" s="7" t="s">
        <v>570</v>
      </c>
      <c r="F8" s="7" t="s">
        <v>584</v>
      </c>
      <c r="G8" s="7" t="s">
        <v>569</v>
      </c>
    </row>
    <row r="9" ht="16.5" spans="1:7">
      <c r="A9" s="6" t="s">
        <v>585</v>
      </c>
      <c r="B9" s="7" t="s">
        <v>232</v>
      </c>
      <c r="C9" s="7" t="s">
        <v>586</v>
      </c>
      <c r="D9" s="7" t="s">
        <v>587</v>
      </c>
      <c r="E9" s="7" t="s">
        <v>588</v>
      </c>
      <c r="F9" s="7" t="s">
        <v>589</v>
      </c>
      <c r="G9" s="7" t="s">
        <v>569</v>
      </c>
    </row>
    <row r="10" ht="16.5" spans="1:7">
      <c r="A10" s="6" t="s">
        <v>590</v>
      </c>
      <c r="B10" s="7" t="s">
        <v>235</v>
      </c>
      <c r="C10" s="7" t="s">
        <v>591</v>
      </c>
      <c r="D10" s="7" t="s">
        <v>592</v>
      </c>
      <c r="E10" s="7" t="s">
        <v>570</v>
      </c>
      <c r="F10" s="7" t="s">
        <v>593</v>
      </c>
      <c r="G10" s="7" t="s">
        <v>569</v>
      </c>
    </row>
    <row r="11" ht="33" spans="1:7">
      <c r="A11" s="6" t="s">
        <v>594</v>
      </c>
      <c r="B11" s="7" t="s">
        <v>595</v>
      </c>
      <c r="C11" s="7" t="s">
        <v>596</v>
      </c>
      <c r="D11" s="7" t="s">
        <v>597</v>
      </c>
      <c r="E11" s="7" t="s">
        <v>570</v>
      </c>
      <c r="F11" s="7" t="s">
        <v>598</v>
      </c>
      <c r="G11" s="7" t="s">
        <v>17</v>
      </c>
    </row>
    <row r="12" ht="33" spans="1:7">
      <c r="A12" s="6" t="s">
        <v>599</v>
      </c>
      <c r="B12" s="7" t="s">
        <v>600</v>
      </c>
      <c r="C12" s="7" t="s">
        <v>596</v>
      </c>
      <c r="D12" s="7" t="s">
        <v>601</v>
      </c>
      <c r="E12" s="7" t="s">
        <v>570</v>
      </c>
      <c r="F12" s="7" t="s">
        <v>602</v>
      </c>
      <c r="G12" s="7" t="s">
        <v>17</v>
      </c>
    </row>
    <row r="13" ht="16.5" spans="1:7">
      <c r="A13" s="6" t="s">
        <v>603</v>
      </c>
      <c r="B13" s="7" t="s">
        <v>604</v>
      </c>
      <c r="C13" s="7" t="s">
        <v>32</v>
      </c>
      <c r="D13" s="7" t="s">
        <v>605</v>
      </c>
      <c r="E13" s="7" t="s">
        <v>606</v>
      </c>
      <c r="F13" s="7" t="s">
        <v>607</v>
      </c>
      <c r="G13" s="7" t="s">
        <v>608</v>
      </c>
    </row>
    <row r="14" ht="16.5" spans="1:7">
      <c r="A14" s="6" t="s">
        <v>609</v>
      </c>
      <c r="B14" s="7" t="s">
        <v>146</v>
      </c>
      <c r="C14" s="7" t="s">
        <v>610</v>
      </c>
      <c r="D14" s="7" t="s">
        <v>611</v>
      </c>
      <c r="E14" s="7" t="s">
        <v>612</v>
      </c>
      <c r="F14" s="7" t="s">
        <v>613</v>
      </c>
      <c r="G14" s="7" t="s">
        <v>569</v>
      </c>
    </row>
    <row r="15" ht="16.5" spans="1:7">
      <c r="A15" s="6" t="s">
        <v>614</v>
      </c>
      <c r="B15" s="7" t="s">
        <v>615</v>
      </c>
      <c r="C15" s="7" t="s">
        <v>616</v>
      </c>
      <c r="D15" s="7" t="s">
        <v>617</v>
      </c>
      <c r="E15" s="7" t="s">
        <v>618</v>
      </c>
      <c r="F15" s="7" t="s">
        <v>619</v>
      </c>
      <c r="G15" s="7" t="s">
        <v>569</v>
      </c>
    </row>
    <row r="16" ht="16.5" spans="1:7">
      <c r="A16" s="6" t="s">
        <v>620</v>
      </c>
      <c r="B16" s="7" t="s">
        <v>168</v>
      </c>
      <c r="C16" s="7" t="s">
        <v>621</v>
      </c>
      <c r="D16" s="7" t="s">
        <v>622</v>
      </c>
      <c r="E16" s="7" t="s">
        <v>623</v>
      </c>
      <c r="F16" s="7" t="s">
        <v>624</v>
      </c>
      <c r="G16" s="7" t="s">
        <v>569</v>
      </c>
    </row>
    <row r="17" ht="16.5" spans="1:7">
      <c r="A17" s="6" t="s">
        <v>625</v>
      </c>
      <c r="B17" s="7" t="s">
        <v>626</v>
      </c>
      <c r="C17" s="7" t="s">
        <v>627</v>
      </c>
      <c r="D17" s="7" t="s">
        <v>628</v>
      </c>
      <c r="E17" s="7" t="s">
        <v>629</v>
      </c>
      <c r="F17" s="7" t="s">
        <v>630</v>
      </c>
      <c r="G17" s="7" t="s">
        <v>569</v>
      </c>
    </row>
    <row r="18" ht="16.5" spans="1:7">
      <c r="A18" s="6" t="s">
        <v>631</v>
      </c>
      <c r="B18" s="7" t="s">
        <v>632</v>
      </c>
      <c r="C18" s="7" t="s">
        <v>633</v>
      </c>
      <c r="D18" s="7" t="s">
        <v>634</v>
      </c>
      <c r="E18" s="7" t="s">
        <v>635</v>
      </c>
      <c r="F18" s="7" t="s">
        <v>636</v>
      </c>
      <c r="G18" s="7" t="s">
        <v>637</v>
      </c>
    </row>
    <row r="19" ht="16.5" spans="1:7">
      <c r="A19" s="6" t="s">
        <v>291</v>
      </c>
      <c r="B19" s="7" t="s">
        <v>638</v>
      </c>
      <c r="C19" s="7" t="s">
        <v>32</v>
      </c>
      <c r="D19" s="7" t="s">
        <v>639</v>
      </c>
      <c r="E19" s="7" t="s">
        <v>640</v>
      </c>
      <c r="F19" s="7" t="s">
        <v>641</v>
      </c>
      <c r="G19" s="7" t="s">
        <v>642</v>
      </c>
    </row>
    <row r="20" ht="16.5" spans="1:7">
      <c r="A20" s="6" t="s">
        <v>643</v>
      </c>
      <c r="B20" s="7" t="s">
        <v>644</v>
      </c>
      <c r="C20" s="7" t="s">
        <v>645</v>
      </c>
      <c r="D20" s="7" t="s">
        <v>646</v>
      </c>
      <c r="E20" s="7" t="s">
        <v>647</v>
      </c>
      <c r="F20" s="7" t="s">
        <v>648</v>
      </c>
      <c r="G20" s="7" t="s">
        <v>649</v>
      </c>
    </row>
    <row r="21" ht="16.5" spans="1:7">
      <c r="A21" s="6" t="s">
        <v>650</v>
      </c>
      <c r="B21" s="7" t="s">
        <v>292</v>
      </c>
      <c r="C21" s="7" t="s">
        <v>651</v>
      </c>
      <c r="D21" s="7" t="s">
        <v>652</v>
      </c>
      <c r="E21" s="7" t="s">
        <v>640</v>
      </c>
      <c r="F21" s="7" t="s">
        <v>653</v>
      </c>
      <c r="G21" s="7" t="s">
        <v>649</v>
      </c>
    </row>
    <row r="22" ht="16.5" spans="1:7">
      <c r="A22" s="6" t="s">
        <v>303</v>
      </c>
      <c r="B22" s="7" t="s">
        <v>654</v>
      </c>
      <c r="C22" s="7" t="s">
        <v>655</v>
      </c>
      <c r="D22" s="7" t="s">
        <v>656</v>
      </c>
      <c r="E22" s="7" t="s">
        <v>657</v>
      </c>
      <c r="F22" s="7" t="s">
        <v>658</v>
      </c>
      <c r="G22" s="7" t="s">
        <v>659</v>
      </c>
    </row>
    <row r="23" ht="16.5" spans="1:7">
      <c r="A23" s="6" t="s">
        <v>660</v>
      </c>
      <c r="B23" s="7" t="s">
        <v>304</v>
      </c>
      <c r="C23" s="7" t="s">
        <v>36</v>
      </c>
      <c r="D23" s="7" t="s">
        <v>661</v>
      </c>
      <c r="E23" s="7" t="s">
        <v>662</v>
      </c>
      <c r="F23" s="7" t="s">
        <v>663</v>
      </c>
      <c r="G23" s="7" t="s">
        <v>608</v>
      </c>
    </row>
    <row r="24" ht="16.5" spans="1:7">
      <c r="A24" s="6" t="s">
        <v>664</v>
      </c>
      <c r="B24" s="7" t="s">
        <v>665</v>
      </c>
      <c r="C24" s="7" t="s">
        <v>666</v>
      </c>
      <c r="D24" s="7" t="s">
        <v>667</v>
      </c>
      <c r="E24" s="7" t="s">
        <v>668</v>
      </c>
      <c r="F24" s="7" t="s">
        <v>669</v>
      </c>
      <c r="G24" s="7" t="s">
        <v>670</v>
      </c>
    </row>
    <row r="25" ht="33" spans="1:7">
      <c r="A25" s="6" t="s">
        <v>671</v>
      </c>
      <c r="B25" s="7" t="s">
        <v>672</v>
      </c>
      <c r="C25" s="7" t="s">
        <v>673</v>
      </c>
      <c r="D25" s="7" t="s">
        <v>674</v>
      </c>
      <c r="E25" s="7" t="s">
        <v>675</v>
      </c>
      <c r="F25" s="7" t="s">
        <v>676</v>
      </c>
      <c r="G25" s="7" t="s">
        <v>19</v>
      </c>
    </row>
    <row r="26" ht="16.5" spans="1:7">
      <c r="A26" s="6" t="s">
        <v>677</v>
      </c>
      <c r="B26" s="7" t="s">
        <v>678</v>
      </c>
      <c r="C26" s="7" t="s">
        <v>679</v>
      </c>
      <c r="D26" s="7" t="s">
        <v>680</v>
      </c>
      <c r="E26" s="7" t="s">
        <v>681</v>
      </c>
      <c r="F26" s="7" t="s">
        <v>682</v>
      </c>
      <c r="G26" s="7" t="s">
        <v>19</v>
      </c>
    </row>
    <row r="27" ht="16.5" spans="1:7">
      <c r="A27" s="6" t="s">
        <v>683</v>
      </c>
      <c r="B27" s="7" t="s">
        <v>684</v>
      </c>
      <c r="C27" s="7" t="s">
        <v>685</v>
      </c>
      <c r="D27" s="7" t="s">
        <v>686</v>
      </c>
      <c r="E27" s="7" t="s">
        <v>681</v>
      </c>
      <c r="F27" s="7" t="s">
        <v>687</v>
      </c>
      <c r="G27" s="7" t="s">
        <v>688</v>
      </c>
    </row>
    <row r="28" ht="16.5" spans="1:7">
      <c r="A28" s="6" t="s">
        <v>689</v>
      </c>
      <c r="B28" s="7" t="s">
        <v>690</v>
      </c>
      <c r="C28" s="7" t="s">
        <v>691</v>
      </c>
      <c r="D28" s="7" t="s">
        <v>692</v>
      </c>
      <c r="E28" s="7" t="s">
        <v>693</v>
      </c>
      <c r="F28" s="7" t="s">
        <v>694</v>
      </c>
      <c r="G28" s="7" t="s">
        <v>19</v>
      </c>
    </row>
    <row r="29" ht="16.5" spans="1:7">
      <c r="A29" s="6" t="s">
        <v>345</v>
      </c>
      <c r="B29" s="7" t="s">
        <v>695</v>
      </c>
      <c r="C29" s="7" t="s">
        <v>696</v>
      </c>
      <c r="D29" s="7" t="s">
        <v>697</v>
      </c>
      <c r="E29" s="7" t="s">
        <v>681</v>
      </c>
      <c r="F29" s="7" t="s">
        <v>698</v>
      </c>
      <c r="G29" s="7" t="s">
        <v>17</v>
      </c>
    </row>
    <row r="30" ht="16.5" spans="1:7">
      <c r="A30" s="6" t="s">
        <v>699</v>
      </c>
      <c r="B30" s="7" t="s">
        <v>700</v>
      </c>
      <c r="C30" s="7" t="s">
        <v>701</v>
      </c>
      <c r="D30" s="7" t="s">
        <v>702</v>
      </c>
      <c r="E30" s="7" t="s">
        <v>703</v>
      </c>
      <c r="F30" s="7" t="s">
        <v>704</v>
      </c>
      <c r="G30" s="7" t="s">
        <v>569</v>
      </c>
    </row>
    <row r="31" ht="16.5" spans="1:7">
      <c r="A31" s="6" t="s">
        <v>365</v>
      </c>
      <c r="B31" s="7" t="s">
        <v>705</v>
      </c>
      <c r="C31" s="7" t="s">
        <v>633</v>
      </c>
      <c r="D31" s="7" t="s">
        <v>706</v>
      </c>
      <c r="E31" s="7" t="s">
        <v>707</v>
      </c>
      <c r="F31" s="7" t="s">
        <v>708</v>
      </c>
      <c r="G31" s="7" t="s">
        <v>709</v>
      </c>
    </row>
    <row r="32" ht="16.5" spans="1:7">
      <c r="A32" s="6" t="s">
        <v>710</v>
      </c>
      <c r="B32" s="7" t="s">
        <v>711</v>
      </c>
      <c r="C32" s="7" t="s">
        <v>712</v>
      </c>
      <c r="D32" s="7" t="s">
        <v>713</v>
      </c>
      <c r="E32" s="7" t="s">
        <v>714</v>
      </c>
      <c r="F32" s="7" t="s">
        <v>715</v>
      </c>
      <c r="G32" s="7" t="s">
        <v>17</v>
      </c>
    </row>
    <row r="33" ht="16.5" spans="1:7">
      <c r="A33" s="6" t="s">
        <v>716</v>
      </c>
      <c r="B33" s="7" t="s">
        <v>265</v>
      </c>
      <c r="C33" s="7" t="s">
        <v>717</v>
      </c>
      <c r="D33" s="7" t="s">
        <v>718</v>
      </c>
      <c r="E33" s="7" t="s">
        <v>719</v>
      </c>
      <c r="F33" s="7" t="s">
        <v>720</v>
      </c>
      <c r="G33" s="7" t="s">
        <v>721</v>
      </c>
    </row>
    <row r="34" ht="16.5" spans="1:7">
      <c r="A34" s="8" t="s">
        <v>722</v>
      </c>
      <c r="B34" s="9" t="s">
        <v>723</v>
      </c>
      <c r="C34" s="9" t="s">
        <v>44</v>
      </c>
      <c r="D34" s="9" t="s">
        <v>724</v>
      </c>
      <c r="E34" s="9" t="s">
        <v>725</v>
      </c>
      <c r="F34" s="9" t="s">
        <v>726</v>
      </c>
      <c r="G34" s="9" t="s">
        <v>727</v>
      </c>
    </row>
  </sheetData>
  <mergeCells count="2">
    <mergeCell ref="A1:G1"/>
    <mergeCell ref="A2:G2"/>
  </mergeCell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selection activeCell="A1" sqref="A1:F1"/>
    </sheetView>
  </sheetViews>
  <sheetFormatPr defaultColWidth="9" defaultRowHeight="14.25" outlineLevelCol="5"/>
  <cols>
    <col min="1" max="1" width="16" customWidth="1"/>
    <col min="2" max="2" width="40" customWidth="1"/>
    <col min="3" max="3" width="56" customWidth="1"/>
    <col min="4" max="4" width="22" customWidth="1"/>
    <col min="5" max="5" width="38" customWidth="1"/>
  </cols>
  <sheetData>
    <row r="1" ht="34" customHeight="1" spans="1:6">
      <c r="A1" s="1" t="s">
        <v>728</v>
      </c>
      <c r="B1" s="1"/>
      <c r="C1" s="1"/>
      <c r="D1" s="1"/>
      <c r="E1" s="1"/>
      <c r="F1" s="1"/>
    </row>
    <row r="2" ht="26" customHeight="1" spans="1:6">
      <c r="A2" s="2" t="s">
        <v>729</v>
      </c>
      <c r="B2" s="2"/>
      <c r="C2" s="2"/>
      <c r="D2" s="2"/>
      <c r="E2" s="2"/>
      <c r="F2" s="2"/>
    </row>
    <row r="3" ht="16.5" spans="1:6">
      <c r="A3" s="3"/>
      <c r="B3" s="3"/>
      <c r="C3" s="3"/>
      <c r="D3" s="3"/>
      <c r="E3" s="3"/>
      <c r="F3" s="3"/>
    </row>
    <row r="4" ht="28" customHeight="1" spans="1:6">
      <c r="A4" s="4" t="s">
        <v>730</v>
      </c>
      <c r="B4" s="5" t="s">
        <v>731</v>
      </c>
      <c r="C4" s="5" t="s">
        <v>732</v>
      </c>
      <c r="D4" s="5" t="s">
        <v>733</v>
      </c>
      <c r="E4" s="5" t="s">
        <v>734</v>
      </c>
      <c r="F4" s="3"/>
    </row>
    <row r="5" ht="16.5" spans="1:6">
      <c r="A5" s="6" t="s">
        <v>735</v>
      </c>
      <c r="B5" s="7" t="s">
        <v>736</v>
      </c>
      <c r="C5" s="7" t="s">
        <v>737</v>
      </c>
      <c r="D5" s="7" t="s">
        <v>738</v>
      </c>
      <c r="E5" s="7" t="s">
        <v>739</v>
      </c>
      <c r="F5" s="3"/>
    </row>
    <row r="6" ht="49.5" spans="1:6">
      <c r="A6" s="6" t="s">
        <v>385</v>
      </c>
      <c r="B6" s="7" t="s">
        <v>740</v>
      </c>
      <c r="C6" s="7" t="s">
        <v>741</v>
      </c>
      <c r="D6" s="7" t="s">
        <v>742</v>
      </c>
      <c r="E6" s="7" t="s">
        <v>743</v>
      </c>
      <c r="F6" s="3"/>
    </row>
    <row r="7" ht="33" spans="1:6">
      <c r="A7" s="6" t="s">
        <v>744</v>
      </c>
      <c r="B7" s="7" t="s">
        <v>745</v>
      </c>
      <c r="C7" s="7" t="s">
        <v>746</v>
      </c>
      <c r="D7" s="7" t="s">
        <v>747</v>
      </c>
      <c r="E7" s="7" t="s">
        <v>748</v>
      </c>
      <c r="F7" s="3"/>
    </row>
    <row r="8" ht="16.5" spans="1:6">
      <c r="A8" s="6" t="s">
        <v>749</v>
      </c>
      <c r="B8" s="7" t="s">
        <v>750</v>
      </c>
      <c r="C8" s="7" t="s">
        <v>751</v>
      </c>
      <c r="D8" s="7" t="s">
        <v>752</v>
      </c>
      <c r="E8" s="7" t="s">
        <v>753</v>
      </c>
      <c r="F8" s="3"/>
    </row>
    <row r="9" ht="16.5" spans="1:6">
      <c r="A9" s="6" t="s">
        <v>754</v>
      </c>
      <c r="B9" s="7" t="s">
        <v>755</v>
      </c>
      <c r="C9" s="7" t="s">
        <v>756</v>
      </c>
      <c r="D9" s="7" t="s">
        <v>499</v>
      </c>
      <c r="E9" s="7" t="s">
        <v>757</v>
      </c>
      <c r="F9" s="3"/>
    </row>
    <row r="10" ht="16.5" spans="1:6">
      <c r="A10" s="6" t="s">
        <v>522</v>
      </c>
      <c r="B10" s="7" t="s">
        <v>758</v>
      </c>
      <c r="C10" s="7" t="s">
        <v>759</v>
      </c>
      <c r="D10" s="7" t="s">
        <v>760</v>
      </c>
      <c r="E10" s="7" t="s">
        <v>761</v>
      </c>
      <c r="F10" s="3"/>
    </row>
    <row r="11" ht="16.5" spans="1:6">
      <c r="A11" s="6" t="s">
        <v>762</v>
      </c>
      <c r="B11" s="7" t="s">
        <v>763</v>
      </c>
      <c r="C11" s="7" t="s">
        <v>764</v>
      </c>
      <c r="D11" s="7" t="s">
        <v>752</v>
      </c>
      <c r="E11" s="7" t="s">
        <v>765</v>
      </c>
      <c r="F11" s="3"/>
    </row>
    <row r="12" ht="49.5" spans="1:6">
      <c r="A12" s="6" t="s">
        <v>766</v>
      </c>
      <c r="B12" s="7" t="s">
        <v>767</v>
      </c>
      <c r="C12" s="7" t="s">
        <v>768</v>
      </c>
      <c r="D12" s="7" t="s">
        <v>752</v>
      </c>
      <c r="E12" s="7" t="s">
        <v>769</v>
      </c>
      <c r="F12" s="3"/>
    </row>
    <row r="13" ht="16.5" spans="1:6">
      <c r="A13" s="6" t="s">
        <v>770</v>
      </c>
      <c r="B13" s="7" t="s">
        <v>771</v>
      </c>
      <c r="C13" s="7" t="s">
        <v>772</v>
      </c>
      <c r="D13" s="7" t="s">
        <v>773</v>
      </c>
      <c r="E13" s="7" t="s">
        <v>774</v>
      </c>
      <c r="F13" s="3"/>
    </row>
    <row r="14" ht="16.5" spans="1:6">
      <c r="A14" s="6" t="s">
        <v>775</v>
      </c>
      <c r="B14" s="7" t="s">
        <v>776</v>
      </c>
      <c r="C14" s="7" t="s">
        <v>777</v>
      </c>
      <c r="D14" s="7" t="s">
        <v>92</v>
      </c>
      <c r="E14" s="7" t="s">
        <v>778</v>
      </c>
      <c r="F14" s="3"/>
    </row>
    <row r="15" ht="16.5" spans="1:6">
      <c r="A15" s="6" t="s">
        <v>779</v>
      </c>
      <c r="B15" s="7" t="s">
        <v>780</v>
      </c>
      <c r="C15" s="7" t="s">
        <v>781</v>
      </c>
      <c r="D15" s="7" t="s">
        <v>782</v>
      </c>
      <c r="E15" s="7" t="s">
        <v>783</v>
      </c>
      <c r="F15" s="3"/>
    </row>
    <row r="16" ht="16.5" spans="1:6">
      <c r="A16" s="8" t="s">
        <v>784</v>
      </c>
      <c r="B16" s="9" t="s">
        <v>785</v>
      </c>
      <c r="C16" s="9" t="s">
        <v>786</v>
      </c>
      <c r="D16" s="9" t="s">
        <v>787</v>
      </c>
      <c r="E16" s="9" t="s">
        <v>788</v>
      </c>
      <c r="F16" s="3"/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4.25" outlineLevelCol="7"/>
  <cols>
    <col min="1" max="1" width="22" customWidth="1"/>
    <col min="2" max="3" width="30" customWidth="1"/>
    <col min="4" max="4" width="42" customWidth="1"/>
    <col min="5" max="5" width="34" customWidth="1"/>
    <col min="6" max="6" width="12" customWidth="1"/>
    <col min="7" max="7" width="10" customWidth="1"/>
    <col min="8" max="8" width="34" customWidth="1"/>
  </cols>
  <sheetData>
    <row r="1" ht="34" customHeight="1" spans="1:8">
      <c r="A1" s="1" t="s">
        <v>789</v>
      </c>
      <c r="B1" s="1"/>
      <c r="C1" s="1"/>
      <c r="D1" s="1"/>
      <c r="E1" s="1"/>
      <c r="F1" s="1"/>
      <c r="G1" s="1"/>
      <c r="H1" s="1"/>
    </row>
    <row r="2" ht="26" customHeight="1" spans="1:8">
      <c r="A2" s="2" t="s">
        <v>790</v>
      </c>
      <c r="B2" s="2"/>
      <c r="C2" s="2"/>
      <c r="D2" s="2"/>
      <c r="E2" s="2"/>
      <c r="F2" s="2"/>
      <c r="G2" s="2"/>
      <c r="H2" s="2"/>
    </row>
    <row r="3" ht="16.5" spans="1:8">
      <c r="A3" s="3"/>
      <c r="B3" s="3"/>
      <c r="C3" s="3"/>
      <c r="D3" s="3"/>
      <c r="E3" s="3"/>
      <c r="F3" s="3"/>
      <c r="G3" s="3"/>
      <c r="H3" s="3"/>
    </row>
    <row r="4" ht="28" customHeight="1" spans="1:8">
      <c r="A4" s="4" t="s">
        <v>206</v>
      </c>
      <c r="B4" s="5" t="s">
        <v>791</v>
      </c>
      <c r="C4" s="5" t="s">
        <v>792</v>
      </c>
      <c r="D4" s="5" t="s">
        <v>793</v>
      </c>
      <c r="E4" s="5" t="s">
        <v>794</v>
      </c>
      <c r="F4" s="5" t="s">
        <v>795</v>
      </c>
      <c r="G4" s="5" t="s">
        <v>209</v>
      </c>
      <c r="H4" s="5" t="s">
        <v>796</v>
      </c>
    </row>
    <row r="5" ht="16.5" spans="1:8">
      <c r="A5" s="6" t="s">
        <v>797</v>
      </c>
      <c r="B5" s="7" t="s">
        <v>798</v>
      </c>
      <c r="C5" s="7" t="s">
        <v>799</v>
      </c>
      <c r="D5" s="7" t="s">
        <v>800</v>
      </c>
      <c r="E5" s="7" t="s">
        <v>801</v>
      </c>
      <c r="F5" s="7" t="s">
        <v>17</v>
      </c>
      <c r="G5" s="7" t="s">
        <v>16</v>
      </c>
      <c r="H5" s="7" t="s">
        <v>802</v>
      </c>
    </row>
    <row r="6" ht="16.5" spans="1:8">
      <c r="A6" s="6" t="s">
        <v>235</v>
      </c>
      <c r="B6" s="7" t="s">
        <v>803</v>
      </c>
      <c r="C6" s="7" t="s">
        <v>804</v>
      </c>
      <c r="D6" s="7" t="s">
        <v>805</v>
      </c>
      <c r="E6" s="7" t="s">
        <v>801</v>
      </c>
      <c r="F6" s="7" t="s">
        <v>17</v>
      </c>
      <c r="G6" s="7" t="s">
        <v>16</v>
      </c>
      <c r="H6" s="7" t="s">
        <v>806</v>
      </c>
    </row>
    <row r="7" ht="16.5" spans="1:8">
      <c r="A7" s="6" t="s">
        <v>807</v>
      </c>
      <c r="B7" s="7" t="s">
        <v>808</v>
      </c>
      <c r="C7" s="7" t="s">
        <v>809</v>
      </c>
      <c r="D7" s="7" t="s">
        <v>810</v>
      </c>
      <c r="E7" s="7" t="s">
        <v>811</v>
      </c>
      <c r="F7" s="7" t="s">
        <v>17</v>
      </c>
      <c r="G7" s="7" t="s">
        <v>18</v>
      </c>
      <c r="H7" s="7" t="s">
        <v>812</v>
      </c>
    </row>
    <row r="8" ht="16.5" spans="1:8">
      <c r="A8" s="6" t="s">
        <v>813</v>
      </c>
      <c r="B8" s="7" t="s">
        <v>814</v>
      </c>
      <c r="C8" s="7" t="s">
        <v>815</v>
      </c>
      <c r="D8" s="7" t="s">
        <v>816</v>
      </c>
      <c r="E8" s="7" t="s">
        <v>811</v>
      </c>
      <c r="F8" s="7" t="s">
        <v>17</v>
      </c>
      <c r="G8" s="7" t="s">
        <v>18</v>
      </c>
      <c r="H8" s="7" t="s">
        <v>817</v>
      </c>
    </row>
    <row r="9" ht="16.5" spans="1:8">
      <c r="A9" s="6" t="s">
        <v>818</v>
      </c>
      <c r="B9" s="7" t="s">
        <v>819</v>
      </c>
      <c r="C9" s="7" t="s">
        <v>820</v>
      </c>
      <c r="D9" s="7" t="s">
        <v>821</v>
      </c>
      <c r="E9" s="7" t="s">
        <v>801</v>
      </c>
      <c r="F9" s="7" t="s">
        <v>17</v>
      </c>
      <c r="G9" s="7" t="s">
        <v>16</v>
      </c>
      <c r="H9" s="7" t="s">
        <v>822</v>
      </c>
    </row>
    <row r="10" ht="16.5" spans="1:8">
      <c r="A10" s="6" t="s">
        <v>146</v>
      </c>
      <c r="B10" s="7" t="s">
        <v>823</v>
      </c>
      <c r="C10" s="7" t="s">
        <v>824</v>
      </c>
      <c r="D10" s="7" t="s">
        <v>825</v>
      </c>
      <c r="E10" s="7" t="s">
        <v>826</v>
      </c>
      <c r="F10" s="7" t="s">
        <v>17</v>
      </c>
      <c r="G10" s="7" t="s">
        <v>18</v>
      </c>
      <c r="H10" s="7" t="s">
        <v>827</v>
      </c>
    </row>
    <row r="11" ht="16.5" spans="1:8">
      <c r="A11" s="6" t="s">
        <v>828</v>
      </c>
      <c r="B11" s="7" t="s">
        <v>829</v>
      </c>
      <c r="C11" s="7" t="s">
        <v>830</v>
      </c>
      <c r="D11" s="7" t="s">
        <v>831</v>
      </c>
      <c r="E11" s="7" t="s">
        <v>832</v>
      </c>
      <c r="F11" s="7" t="s">
        <v>21</v>
      </c>
      <c r="G11" s="7" t="s">
        <v>16</v>
      </c>
      <c r="H11" s="7" t="s">
        <v>833</v>
      </c>
    </row>
    <row r="12" ht="16.5" spans="1:8">
      <c r="A12" s="6" t="s">
        <v>325</v>
      </c>
      <c r="B12" s="7" t="s">
        <v>834</v>
      </c>
      <c r="C12" s="7" t="s">
        <v>835</v>
      </c>
      <c r="D12" s="7" t="s">
        <v>836</v>
      </c>
      <c r="E12" s="7" t="s">
        <v>837</v>
      </c>
      <c r="F12" s="7" t="s">
        <v>17</v>
      </c>
      <c r="G12" s="7" t="s">
        <v>16</v>
      </c>
      <c r="H12" s="7" t="s">
        <v>838</v>
      </c>
    </row>
    <row r="13" ht="16.5" spans="1:8">
      <c r="A13" s="6" t="s">
        <v>330</v>
      </c>
      <c r="B13" s="7" t="s">
        <v>839</v>
      </c>
      <c r="C13" s="7" t="s">
        <v>840</v>
      </c>
      <c r="D13" s="7" t="s">
        <v>841</v>
      </c>
      <c r="E13" s="7" t="s">
        <v>842</v>
      </c>
      <c r="F13" s="7" t="s">
        <v>17</v>
      </c>
      <c r="G13" s="7" t="s">
        <v>16</v>
      </c>
      <c r="H13" s="7" t="s">
        <v>843</v>
      </c>
    </row>
    <row r="14" ht="16.5" spans="1:8">
      <c r="A14" s="6" t="s">
        <v>844</v>
      </c>
      <c r="B14" s="7" t="s">
        <v>845</v>
      </c>
      <c r="C14" s="7" t="s">
        <v>846</v>
      </c>
      <c r="D14" s="7" t="s">
        <v>847</v>
      </c>
      <c r="E14" s="7" t="s">
        <v>848</v>
      </c>
      <c r="F14" s="7" t="s">
        <v>17</v>
      </c>
      <c r="G14" s="7" t="s">
        <v>16</v>
      </c>
      <c r="H14" s="7" t="s">
        <v>849</v>
      </c>
    </row>
    <row r="15" ht="16.5" spans="1:8">
      <c r="A15" s="6" t="s">
        <v>850</v>
      </c>
      <c r="B15" s="7" t="s">
        <v>851</v>
      </c>
      <c r="C15" s="7" t="s">
        <v>852</v>
      </c>
      <c r="D15" s="7" t="s">
        <v>853</v>
      </c>
      <c r="E15" s="7" t="s">
        <v>854</v>
      </c>
      <c r="F15" s="7" t="s">
        <v>17</v>
      </c>
      <c r="G15" s="7" t="s">
        <v>16</v>
      </c>
      <c r="H15" s="7" t="s">
        <v>855</v>
      </c>
    </row>
    <row r="16" ht="16.5" spans="1:8">
      <c r="A16" s="6" t="s">
        <v>856</v>
      </c>
      <c r="B16" s="7" t="s">
        <v>857</v>
      </c>
      <c r="C16" s="7" t="s">
        <v>182</v>
      </c>
      <c r="D16" s="7" t="s">
        <v>858</v>
      </c>
      <c r="E16" s="7" t="s">
        <v>859</v>
      </c>
      <c r="F16" s="7" t="s">
        <v>21</v>
      </c>
      <c r="G16" s="7" t="s">
        <v>16</v>
      </c>
      <c r="H16" s="7" t="s">
        <v>860</v>
      </c>
    </row>
    <row r="17" ht="16.5" spans="1:8">
      <c r="A17" s="6" t="s">
        <v>292</v>
      </c>
      <c r="B17" s="7" t="s">
        <v>861</v>
      </c>
      <c r="C17" s="7" t="s">
        <v>862</v>
      </c>
      <c r="D17" s="7" t="s">
        <v>863</v>
      </c>
      <c r="E17" s="7" t="s">
        <v>864</v>
      </c>
      <c r="F17" s="7" t="s">
        <v>17</v>
      </c>
      <c r="G17" s="7" t="s">
        <v>18</v>
      </c>
      <c r="H17" s="7" t="s">
        <v>865</v>
      </c>
    </row>
    <row r="18" ht="16.5" spans="1:8">
      <c r="A18" s="6" t="s">
        <v>353</v>
      </c>
      <c r="B18" s="7" t="s">
        <v>866</v>
      </c>
      <c r="C18" s="7" t="s">
        <v>867</v>
      </c>
      <c r="D18" s="7" t="s">
        <v>868</v>
      </c>
      <c r="E18" s="7" t="s">
        <v>842</v>
      </c>
      <c r="F18" s="7" t="s">
        <v>17</v>
      </c>
      <c r="G18" s="7" t="s">
        <v>16</v>
      </c>
      <c r="H18" s="7" t="s">
        <v>869</v>
      </c>
    </row>
    <row r="19" ht="16.5" spans="1:8">
      <c r="A19" s="6" t="s">
        <v>192</v>
      </c>
      <c r="B19" s="7" t="s">
        <v>870</v>
      </c>
      <c r="C19" s="7" t="s">
        <v>871</v>
      </c>
      <c r="D19" s="7" t="s">
        <v>872</v>
      </c>
      <c r="E19" s="7" t="s">
        <v>873</v>
      </c>
      <c r="F19" s="7" t="s">
        <v>23</v>
      </c>
      <c r="G19" s="7" t="s">
        <v>16</v>
      </c>
      <c r="H19" s="7" t="s">
        <v>874</v>
      </c>
    </row>
    <row r="20" ht="16.5" spans="1:8">
      <c r="A20" s="6" t="s">
        <v>875</v>
      </c>
      <c r="B20" s="7" t="s">
        <v>876</v>
      </c>
      <c r="C20" s="7" t="s">
        <v>877</v>
      </c>
      <c r="D20" s="7" t="s">
        <v>878</v>
      </c>
      <c r="E20" s="7" t="s">
        <v>879</v>
      </c>
      <c r="F20" s="7" t="s">
        <v>17</v>
      </c>
      <c r="G20" s="7" t="s">
        <v>16</v>
      </c>
      <c r="H20" s="7" t="s">
        <v>880</v>
      </c>
    </row>
    <row r="21" ht="16.5" spans="1:8">
      <c r="A21" s="6" t="s">
        <v>881</v>
      </c>
      <c r="B21" s="7" t="s">
        <v>876</v>
      </c>
      <c r="C21" s="7" t="s">
        <v>882</v>
      </c>
      <c r="D21" s="7" t="s">
        <v>883</v>
      </c>
      <c r="E21" s="7" t="s">
        <v>801</v>
      </c>
      <c r="F21" s="7" t="s">
        <v>17</v>
      </c>
      <c r="G21" s="7" t="s">
        <v>16</v>
      </c>
      <c r="H21" s="7" t="s">
        <v>884</v>
      </c>
    </row>
    <row r="22" ht="16.5" spans="1:8">
      <c r="A22" s="6" t="s">
        <v>885</v>
      </c>
      <c r="B22" s="7" t="s">
        <v>886</v>
      </c>
      <c r="C22" s="7" t="s">
        <v>887</v>
      </c>
      <c r="D22" s="7" t="s">
        <v>888</v>
      </c>
      <c r="E22" s="7" t="s">
        <v>889</v>
      </c>
      <c r="F22" s="7" t="s">
        <v>23</v>
      </c>
      <c r="G22" s="7" t="s">
        <v>16</v>
      </c>
      <c r="H22" s="7" t="s">
        <v>890</v>
      </c>
    </row>
    <row r="23" ht="16.5" spans="1:8">
      <c r="A23" s="6" t="s">
        <v>891</v>
      </c>
      <c r="B23" s="7" t="s">
        <v>892</v>
      </c>
      <c r="C23" s="7" t="s">
        <v>893</v>
      </c>
      <c r="D23" s="7" t="s">
        <v>894</v>
      </c>
      <c r="E23" s="7" t="s">
        <v>895</v>
      </c>
      <c r="F23" s="7" t="s">
        <v>17</v>
      </c>
      <c r="G23" s="7" t="s">
        <v>18</v>
      </c>
      <c r="H23" s="7" t="s">
        <v>896</v>
      </c>
    </row>
    <row r="24" ht="16.5" spans="1:8">
      <c r="A24" s="8" t="s">
        <v>897</v>
      </c>
      <c r="B24" s="9" t="s">
        <v>898</v>
      </c>
      <c r="C24" s="9" t="s">
        <v>899</v>
      </c>
      <c r="D24" s="9" t="s">
        <v>900</v>
      </c>
      <c r="E24" s="9" t="s">
        <v>901</v>
      </c>
      <c r="F24" s="9" t="s">
        <v>21</v>
      </c>
      <c r="G24" s="9" t="s">
        <v>16</v>
      </c>
      <c r="H24" s="9" t="s">
        <v>902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showGridLines="0" workbookViewId="0">
      <selection activeCell="A1" sqref="A1:H1"/>
    </sheetView>
  </sheetViews>
  <sheetFormatPr defaultColWidth="9" defaultRowHeight="14.25" outlineLevelCol="7"/>
  <cols>
    <col min="1" max="1" width="10" customWidth="1"/>
    <col min="2" max="2" width="9" customWidth="1"/>
    <col min="3" max="3" width="16" customWidth="1"/>
    <col min="4" max="4" width="48" customWidth="1"/>
    <col min="5" max="5" width="36" customWidth="1"/>
    <col min="6" max="6" width="30" customWidth="1"/>
    <col min="7" max="7" width="48" customWidth="1"/>
    <col min="8" max="8" width="14" customWidth="1"/>
  </cols>
  <sheetData>
    <row r="1" ht="34" customHeight="1" spans="1:8">
      <c r="A1" s="1" t="s">
        <v>903</v>
      </c>
      <c r="B1" s="1"/>
      <c r="C1" s="1"/>
      <c r="D1" s="1"/>
      <c r="E1" s="1"/>
      <c r="F1" s="1"/>
      <c r="G1" s="1"/>
      <c r="H1" s="1"/>
    </row>
    <row r="2" ht="26" customHeight="1" spans="1:8">
      <c r="A2" s="2" t="s">
        <v>904</v>
      </c>
      <c r="B2" s="2"/>
      <c r="C2" s="2"/>
      <c r="D2" s="2"/>
      <c r="E2" s="2"/>
      <c r="F2" s="2"/>
      <c r="G2" s="2"/>
      <c r="H2" s="2"/>
    </row>
    <row r="3" ht="16.5" spans="1:8">
      <c r="A3" s="3"/>
      <c r="B3" s="3"/>
      <c r="C3" s="3"/>
      <c r="D3" s="3"/>
      <c r="E3" s="3"/>
      <c r="F3" s="3"/>
      <c r="G3" s="3"/>
      <c r="H3" s="3"/>
    </row>
    <row r="4" ht="28" customHeight="1" spans="1:8">
      <c r="A4" s="4" t="s">
        <v>104</v>
      </c>
      <c r="B4" s="5" t="s">
        <v>14</v>
      </c>
      <c r="C4" s="5" t="s">
        <v>402</v>
      </c>
      <c r="D4" s="5" t="s">
        <v>905</v>
      </c>
      <c r="E4" s="5" t="s">
        <v>906</v>
      </c>
      <c r="F4" s="5" t="s">
        <v>733</v>
      </c>
      <c r="G4" s="5" t="s">
        <v>907</v>
      </c>
      <c r="H4" s="5" t="s">
        <v>12</v>
      </c>
    </row>
    <row r="5" ht="33" spans="1:8">
      <c r="A5" s="6" t="s">
        <v>908</v>
      </c>
      <c r="B5" s="10" t="s">
        <v>16</v>
      </c>
      <c r="C5" s="7" t="s">
        <v>909</v>
      </c>
      <c r="D5" s="7" t="s">
        <v>910</v>
      </c>
      <c r="E5" s="7" t="s">
        <v>911</v>
      </c>
      <c r="F5" s="7" t="s">
        <v>912</v>
      </c>
      <c r="G5" s="7" t="s">
        <v>913</v>
      </c>
      <c r="H5" s="10" t="s">
        <v>914</v>
      </c>
    </row>
    <row r="6" ht="33" spans="1:8">
      <c r="A6" s="6" t="s">
        <v>915</v>
      </c>
      <c r="B6" s="10" t="s">
        <v>16</v>
      </c>
      <c r="C6" s="7" t="s">
        <v>885</v>
      </c>
      <c r="D6" s="7" t="s">
        <v>916</v>
      </c>
      <c r="E6" s="7" t="s">
        <v>917</v>
      </c>
      <c r="F6" s="7" t="s">
        <v>918</v>
      </c>
      <c r="G6" s="7" t="s">
        <v>919</v>
      </c>
      <c r="H6" s="10" t="s">
        <v>914</v>
      </c>
    </row>
    <row r="7" ht="16.5" spans="1:8">
      <c r="A7" s="6" t="s">
        <v>920</v>
      </c>
      <c r="B7" s="10" t="s">
        <v>16</v>
      </c>
      <c r="C7" s="7" t="s">
        <v>856</v>
      </c>
      <c r="D7" s="7" t="s">
        <v>921</v>
      </c>
      <c r="E7" s="7" t="s">
        <v>922</v>
      </c>
      <c r="F7" s="7" t="s">
        <v>314</v>
      </c>
      <c r="G7" s="7" t="s">
        <v>923</v>
      </c>
      <c r="H7" s="10" t="s">
        <v>914</v>
      </c>
    </row>
    <row r="8" ht="16.5" spans="1:8">
      <c r="A8" s="6" t="s">
        <v>924</v>
      </c>
      <c r="B8" s="10" t="s">
        <v>16</v>
      </c>
      <c r="C8" s="7" t="s">
        <v>395</v>
      </c>
      <c r="D8" s="7" t="s">
        <v>925</v>
      </c>
      <c r="E8" s="7" t="s">
        <v>926</v>
      </c>
      <c r="F8" s="7" t="s">
        <v>927</v>
      </c>
      <c r="G8" s="7" t="s">
        <v>928</v>
      </c>
      <c r="H8" s="10" t="s">
        <v>914</v>
      </c>
    </row>
    <row r="9" ht="16.5" spans="1:8">
      <c r="A9" s="6" t="s">
        <v>929</v>
      </c>
      <c r="B9" s="10" t="s">
        <v>16</v>
      </c>
      <c r="C9" s="7" t="s">
        <v>818</v>
      </c>
      <c r="D9" s="7" t="s">
        <v>930</v>
      </c>
      <c r="E9" s="7" t="s">
        <v>931</v>
      </c>
      <c r="F9" s="7" t="s">
        <v>932</v>
      </c>
      <c r="G9" s="7" t="s">
        <v>933</v>
      </c>
      <c r="H9" s="10" t="s">
        <v>914</v>
      </c>
    </row>
    <row r="10" ht="16.5" spans="1:8">
      <c r="A10" s="6" t="s">
        <v>934</v>
      </c>
      <c r="B10" s="10" t="s">
        <v>16</v>
      </c>
      <c r="C10" s="7" t="s">
        <v>935</v>
      </c>
      <c r="D10" s="7" t="s">
        <v>936</v>
      </c>
      <c r="E10" s="7" t="s">
        <v>937</v>
      </c>
      <c r="F10" s="7" t="s">
        <v>938</v>
      </c>
      <c r="G10" s="7" t="s">
        <v>939</v>
      </c>
      <c r="H10" s="10" t="s">
        <v>914</v>
      </c>
    </row>
    <row r="11" ht="16.5" spans="1:8">
      <c r="A11" s="6" t="s">
        <v>940</v>
      </c>
      <c r="B11" s="10" t="s">
        <v>16</v>
      </c>
      <c r="C11" s="7" t="s">
        <v>941</v>
      </c>
      <c r="D11" s="7" t="s">
        <v>942</v>
      </c>
      <c r="E11" s="7" t="s">
        <v>943</v>
      </c>
      <c r="F11" s="7" t="s">
        <v>944</v>
      </c>
      <c r="G11" s="7" t="s">
        <v>945</v>
      </c>
      <c r="H11" s="11" t="s">
        <v>946</v>
      </c>
    </row>
    <row r="12" ht="16.5" spans="1:8">
      <c r="A12" s="6" t="s">
        <v>947</v>
      </c>
      <c r="B12" s="10" t="s">
        <v>16</v>
      </c>
      <c r="C12" s="7" t="s">
        <v>948</v>
      </c>
      <c r="D12" s="7" t="s">
        <v>949</v>
      </c>
      <c r="E12" s="7" t="s">
        <v>950</v>
      </c>
      <c r="F12" s="7" t="s">
        <v>951</v>
      </c>
      <c r="G12" s="7" t="s">
        <v>952</v>
      </c>
      <c r="H12" s="10" t="s">
        <v>914</v>
      </c>
    </row>
    <row r="13" ht="16.5" spans="1:8">
      <c r="A13" s="6" t="s">
        <v>953</v>
      </c>
      <c r="B13" s="10" t="s">
        <v>16</v>
      </c>
      <c r="C13" s="7" t="s">
        <v>954</v>
      </c>
      <c r="D13" s="7" t="s">
        <v>955</v>
      </c>
      <c r="E13" s="7" t="s">
        <v>956</v>
      </c>
      <c r="F13" s="7" t="s">
        <v>957</v>
      </c>
      <c r="G13" s="7" t="s">
        <v>958</v>
      </c>
      <c r="H13" s="10" t="s">
        <v>914</v>
      </c>
    </row>
    <row r="14" ht="16.5" spans="1:8">
      <c r="A14" s="6" t="s">
        <v>959</v>
      </c>
      <c r="B14" s="10" t="s">
        <v>16</v>
      </c>
      <c r="C14" s="7" t="s">
        <v>960</v>
      </c>
      <c r="D14" s="7" t="s">
        <v>961</v>
      </c>
      <c r="E14" s="7" t="s">
        <v>962</v>
      </c>
      <c r="F14" s="7" t="s">
        <v>963</v>
      </c>
      <c r="G14" s="7" t="s">
        <v>964</v>
      </c>
      <c r="H14" s="10" t="s">
        <v>914</v>
      </c>
    </row>
    <row r="15" ht="16.5" spans="1:8">
      <c r="A15" s="6" t="s">
        <v>965</v>
      </c>
      <c r="B15" s="10" t="s">
        <v>16</v>
      </c>
      <c r="C15" s="7" t="s">
        <v>966</v>
      </c>
      <c r="D15" s="7" t="s">
        <v>967</v>
      </c>
      <c r="E15" s="7" t="s">
        <v>968</v>
      </c>
      <c r="F15" s="7" t="s">
        <v>969</v>
      </c>
      <c r="G15" s="7" t="s">
        <v>970</v>
      </c>
      <c r="H15" s="10" t="s">
        <v>914</v>
      </c>
    </row>
    <row r="16" ht="16.5" spans="1:8">
      <c r="A16" s="6" t="s">
        <v>971</v>
      </c>
      <c r="B16" s="10" t="s">
        <v>16</v>
      </c>
      <c r="C16" s="7" t="s">
        <v>972</v>
      </c>
      <c r="D16" s="7" t="s">
        <v>973</v>
      </c>
      <c r="E16" s="7" t="s">
        <v>974</v>
      </c>
      <c r="F16" s="7" t="s">
        <v>975</v>
      </c>
      <c r="G16" s="7" t="s">
        <v>976</v>
      </c>
      <c r="H16" s="7" t="s">
        <v>977</v>
      </c>
    </row>
    <row r="17" ht="33" spans="1:8">
      <c r="A17" s="6" t="s">
        <v>978</v>
      </c>
      <c r="B17" s="12" t="s">
        <v>18</v>
      </c>
      <c r="C17" s="7" t="s">
        <v>979</v>
      </c>
      <c r="D17" s="7" t="s">
        <v>980</v>
      </c>
      <c r="E17" s="7" t="s">
        <v>981</v>
      </c>
      <c r="F17" s="7" t="s">
        <v>982</v>
      </c>
      <c r="G17" s="7" t="s">
        <v>983</v>
      </c>
      <c r="H17" s="10" t="s">
        <v>914</v>
      </c>
    </row>
    <row r="18" ht="16.5" spans="1:8">
      <c r="A18" s="6" t="s">
        <v>984</v>
      </c>
      <c r="B18" s="12" t="s">
        <v>18</v>
      </c>
      <c r="C18" s="7" t="s">
        <v>985</v>
      </c>
      <c r="D18" s="7" t="s">
        <v>986</v>
      </c>
      <c r="E18" s="7" t="s">
        <v>987</v>
      </c>
      <c r="F18" s="7" t="s">
        <v>988</v>
      </c>
      <c r="G18" s="7" t="s">
        <v>989</v>
      </c>
      <c r="H18" s="10" t="s">
        <v>914</v>
      </c>
    </row>
    <row r="19" ht="16.5" spans="1:8">
      <c r="A19" s="6" t="s">
        <v>990</v>
      </c>
      <c r="B19" s="12" t="s">
        <v>18</v>
      </c>
      <c r="C19" s="7" t="s">
        <v>991</v>
      </c>
      <c r="D19" s="7" t="s">
        <v>992</v>
      </c>
      <c r="E19" s="7" t="s">
        <v>993</v>
      </c>
      <c r="F19" s="7" t="s">
        <v>994</v>
      </c>
      <c r="G19" s="7" t="s">
        <v>995</v>
      </c>
      <c r="H19" s="10" t="s">
        <v>914</v>
      </c>
    </row>
    <row r="20" ht="16.5" spans="1:8">
      <c r="A20" s="6" t="s">
        <v>996</v>
      </c>
      <c r="B20" s="12" t="s">
        <v>18</v>
      </c>
      <c r="C20" s="7" t="s">
        <v>997</v>
      </c>
      <c r="D20" s="7" t="s">
        <v>998</v>
      </c>
      <c r="E20" s="7" t="s">
        <v>999</v>
      </c>
      <c r="F20" s="7" t="s">
        <v>1000</v>
      </c>
      <c r="G20" s="7" t="s">
        <v>1001</v>
      </c>
      <c r="H20" s="10" t="s">
        <v>914</v>
      </c>
    </row>
    <row r="21" ht="16.5" spans="1:8">
      <c r="A21" s="6" t="s">
        <v>1002</v>
      </c>
      <c r="B21" s="12" t="s">
        <v>18</v>
      </c>
      <c r="C21" s="7" t="s">
        <v>1003</v>
      </c>
      <c r="D21" s="7" t="s">
        <v>1004</v>
      </c>
      <c r="E21" s="7" t="s">
        <v>1005</v>
      </c>
      <c r="F21" s="7" t="s">
        <v>957</v>
      </c>
      <c r="G21" s="7" t="s">
        <v>1006</v>
      </c>
      <c r="H21" s="10" t="s">
        <v>914</v>
      </c>
    </row>
    <row r="22" ht="16.5" spans="1:8">
      <c r="A22" s="6" t="s">
        <v>1007</v>
      </c>
      <c r="B22" s="12" t="s">
        <v>18</v>
      </c>
      <c r="C22" s="7" t="s">
        <v>1008</v>
      </c>
      <c r="D22" s="7" t="s">
        <v>1009</v>
      </c>
      <c r="E22" s="7" t="s">
        <v>1010</v>
      </c>
      <c r="F22" s="7" t="s">
        <v>1011</v>
      </c>
      <c r="G22" s="7" t="s">
        <v>1012</v>
      </c>
      <c r="H22" s="10" t="s">
        <v>914</v>
      </c>
    </row>
    <row r="23" ht="16.5" spans="1:8">
      <c r="A23" s="6" t="s">
        <v>1013</v>
      </c>
      <c r="B23" s="12" t="s">
        <v>18</v>
      </c>
      <c r="C23" s="7" t="s">
        <v>1014</v>
      </c>
      <c r="D23" s="7" t="s">
        <v>1015</v>
      </c>
      <c r="E23" s="7" t="s">
        <v>1016</v>
      </c>
      <c r="F23" s="7" t="s">
        <v>1017</v>
      </c>
      <c r="G23" s="7" t="s">
        <v>1018</v>
      </c>
      <c r="H23" s="10" t="s">
        <v>914</v>
      </c>
    </row>
    <row r="24" ht="33" spans="1:8">
      <c r="A24" s="6" t="s">
        <v>1019</v>
      </c>
      <c r="B24" s="12" t="s">
        <v>18</v>
      </c>
      <c r="C24" s="7" t="s">
        <v>1020</v>
      </c>
      <c r="D24" s="7" t="s">
        <v>1021</v>
      </c>
      <c r="E24" s="7" t="s">
        <v>1022</v>
      </c>
      <c r="F24" s="7" t="s">
        <v>1023</v>
      </c>
      <c r="G24" s="7" t="s">
        <v>1024</v>
      </c>
      <c r="H24" s="7" t="s">
        <v>977</v>
      </c>
    </row>
    <row r="25" ht="16.5" spans="1:8">
      <c r="A25" s="6" t="s">
        <v>1025</v>
      </c>
      <c r="B25" s="12" t="s">
        <v>18</v>
      </c>
      <c r="C25" s="7" t="s">
        <v>485</v>
      </c>
      <c r="D25" s="7" t="s">
        <v>1026</v>
      </c>
      <c r="E25" s="7" t="s">
        <v>1027</v>
      </c>
      <c r="F25" s="7" t="s">
        <v>1028</v>
      </c>
      <c r="G25" s="7" t="s">
        <v>1029</v>
      </c>
      <c r="H25" s="10" t="s">
        <v>914</v>
      </c>
    </row>
    <row r="26" ht="16.5" spans="1:8">
      <c r="A26" s="6" t="s">
        <v>1030</v>
      </c>
      <c r="B26" s="12" t="s">
        <v>18</v>
      </c>
      <c r="C26" s="7" t="s">
        <v>1031</v>
      </c>
      <c r="D26" s="7" t="s">
        <v>1032</v>
      </c>
      <c r="E26" s="7" t="s">
        <v>1033</v>
      </c>
      <c r="F26" s="7" t="s">
        <v>957</v>
      </c>
      <c r="G26" s="7" t="s">
        <v>1034</v>
      </c>
      <c r="H26" s="10" t="s">
        <v>914</v>
      </c>
    </row>
    <row r="27" ht="33" spans="1:8">
      <c r="A27" s="6" t="s">
        <v>1035</v>
      </c>
      <c r="B27" s="12" t="s">
        <v>18</v>
      </c>
      <c r="C27" s="7" t="s">
        <v>1036</v>
      </c>
      <c r="D27" s="7" t="s">
        <v>1037</v>
      </c>
      <c r="E27" s="7" t="s">
        <v>1038</v>
      </c>
      <c r="F27" s="7" t="s">
        <v>1039</v>
      </c>
      <c r="G27" s="7" t="s">
        <v>1040</v>
      </c>
      <c r="H27" s="10" t="s">
        <v>914</v>
      </c>
    </row>
    <row r="28" ht="16.5" spans="1:8">
      <c r="A28" s="6" t="s">
        <v>1041</v>
      </c>
      <c r="B28" s="12" t="s">
        <v>18</v>
      </c>
      <c r="C28" s="7" t="s">
        <v>1042</v>
      </c>
      <c r="D28" s="7" t="s">
        <v>1043</v>
      </c>
      <c r="E28" s="7" t="s">
        <v>1044</v>
      </c>
      <c r="F28" s="7" t="s">
        <v>1045</v>
      </c>
      <c r="G28" s="7" t="s">
        <v>1046</v>
      </c>
      <c r="H28" s="10" t="s">
        <v>914</v>
      </c>
    </row>
    <row r="29" ht="16.5" spans="1:8">
      <c r="A29" s="6" t="s">
        <v>1047</v>
      </c>
      <c r="B29" s="12" t="s">
        <v>18</v>
      </c>
      <c r="C29" s="7" t="s">
        <v>632</v>
      </c>
      <c r="D29" s="7" t="s">
        <v>1048</v>
      </c>
      <c r="E29" s="7" t="s">
        <v>1049</v>
      </c>
      <c r="F29" s="7" t="s">
        <v>957</v>
      </c>
      <c r="G29" s="7" t="s">
        <v>1050</v>
      </c>
      <c r="H29" s="10" t="s">
        <v>914</v>
      </c>
    </row>
    <row r="30" ht="33" spans="1:8">
      <c r="A30" s="6" t="s">
        <v>1051</v>
      </c>
      <c r="B30" s="13" t="s">
        <v>20</v>
      </c>
      <c r="C30" s="7" t="s">
        <v>1052</v>
      </c>
      <c r="D30" s="7" t="s">
        <v>1053</v>
      </c>
      <c r="E30" s="7" t="s">
        <v>1054</v>
      </c>
      <c r="F30" s="7" t="s">
        <v>1055</v>
      </c>
      <c r="G30" s="7" t="s">
        <v>1056</v>
      </c>
      <c r="H30" s="7" t="s">
        <v>977</v>
      </c>
    </row>
    <row r="31" ht="16.5" spans="1:8">
      <c r="A31" s="6" t="s">
        <v>1057</v>
      </c>
      <c r="B31" s="13" t="s">
        <v>20</v>
      </c>
      <c r="C31" s="7" t="s">
        <v>1058</v>
      </c>
      <c r="D31" s="7" t="s">
        <v>1059</v>
      </c>
      <c r="E31" s="7" t="s">
        <v>1060</v>
      </c>
      <c r="F31" s="7" t="s">
        <v>270</v>
      </c>
      <c r="G31" s="7" t="s">
        <v>1061</v>
      </c>
      <c r="H31" s="10" t="s">
        <v>914</v>
      </c>
    </row>
    <row r="32" ht="16.5" spans="1:8">
      <c r="A32" s="6" t="s">
        <v>1062</v>
      </c>
      <c r="B32" s="13" t="s">
        <v>20</v>
      </c>
      <c r="C32" s="7" t="s">
        <v>1063</v>
      </c>
      <c r="D32" s="7" t="s">
        <v>1064</v>
      </c>
      <c r="E32" s="7" t="s">
        <v>1065</v>
      </c>
      <c r="F32" s="7" t="s">
        <v>1066</v>
      </c>
      <c r="G32" s="7" t="s">
        <v>1067</v>
      </c>
      <c r="H32" s="10" t="s">
        <v>914</v>
      </c>
    </row>
    <row r="33" ht="16.5" spans="1:8">
      <c r="A33" s="6" t="s">
        <v>1068</v>
      </c>
      <c r="B33" s="13" t="s">
        <v>20</v>
      </c>
      <c r="C33" s="7" t="s">
        <v>1069</v>
      </c>
      <c r="D33" s="7" t="s">
        <v>1070</v>
      </c>
      <c r="E33" s="7" t="s">
        <v>1071</v>
      </c>
      <c r="F33" s="7" t="s">
        <v>1072</v>
      </c>
      <c r="G33" s="7" t="s">
        <v>1073</v>
      </c>
      <c r="H33" s="10" t="s">
        <v>914</v>
      </c>
    </row>
    <row r="34" ht="16.5" spans="1:8">
      <c r="A34" s="8" t="s">
        <v>1074</v>
      </c>
      <c r="B34" s="14" t="s">
        <v>22</v>
      </c>
      <c r="C34" s="9" t="s">
        <v>1075</v>
      </c>
      <c r="D34" s="9" t="s">
        <v>1076</v>
      </c>
      <c r="E34" s="9" t="s">
        <v>1077</v>
      </c>
      <c r="F34" s="9" t="s">
        <v>1078</v>
      </c>
      <c r="G34" s="9" t="s">
        <v>1079</v>
      </c>
      <c r="H34" s="14" t="s">
        <v>946</v>
      </c>
    </row>
  </sheetData>
  <mergeCells count="2">
    <mergeCell ref="A1:H1"/>
    <mergeCell ref="A2:H2"/>
  </mergeCells>
  <dataValidations count="2">
    <dataValidation type="list" sqref="B5:B34">
      <formula1>"P0,P1,P2,P3"</formula1>
    </dataValidation>
    <dataValidation type="list" sqref="H5:H34">
      <formula1>"未处理,处理中,待确认,已解决,接受"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showGridLines="0" workbookViewId="0">
      <selection activeCell="A1" sqref="A1:H1"/>
    </sheetView>
  </sheetViews>
  <sheetFormatPr defaultColWidth="9" defaultRowHeight="14.25" outlineLevelCol="7"/>
  <cols>
    <col min="1" max="1" width="18" customWidth="1"/>
    <col min="2" max="2" width="30" customWidth="1"/>
    <col min="3" max="3" width="34" customWidth="1"/>
    <col min="4" max="4" width="52" customWidth="1"/>
    <col min="5" max="5" width="26" customWidth="1"/>
    <col min="6" max="6" width="18" customWidth="1"/>
    <col min="7" max="7" width="14" customWidth="1"/>
    <col min="8" max="8" width="10" customWidth="1"/>
  </cols>
  <sheetData>
    <row r="1" ht="34" customHeight="1" spans="1:8">
      <c r="A1" s="1" t="s">
        <v>1080</v>
      </c>
      <c r="B1" s="1"/>
      <c r="C1" s="1"/>
      <c r="D1" s="1"/>
      <c r="E1" s="1"/>
      <c r="F1" s="1"/>
      <c r="G1" s="1"/>
      <c r="H1" s="1"/>
    </row>
    <row r="2" ht="26" customHeight="1" spans="1:8">
      <c r="A2" s="2" t="s">
        <v>1081</v>
      </c>
      <c r="B2" s="2"/>
      <c r="C2" s="2"/>
      <c r="D2" s="2"/>
      <c r="E2" s="2"/>
      <c r="F2" s="2"/>
      <c r="G2" s="2"/>
      <c r="H2" s="2"/>
    </row>
    <row r="3" ht="16.5" spans="1:8">
      <c r="A3" s="3"/>
      <c r="B3" s="3"/>
      <c r="C3" s="3"/>
      <c r="D3" s="3"/>
      <c r="E3" s="3"/>
      <c r="F3" s="3"/>
      <c r="G3" s="3"/>
      <c r="H3" s="3"/>
    </row>
    <row r="4" ht="28" customHeight="1" spans="1:8">
      <c r="A4" s="4" t="s">
        <v>1082</v>
      </c>
      <c r="B4" s="5" t="s">
        <v>28</v>
      </c>
      <c r="C4" s="5" t="s">
        <v>1083</v>
      </c>
      <c r="D4" s="5" t="s">
        <v>405</v>
      </c>
      <c r="E4" s="5" t="s">
        <v>1084</v>
      </c>
      <c r="F4" s="5" t="s">
        <v>1085</v>
      </c>
      <c r="G4" s="5" t="s">
        <v>1086</v>
      </c>
      <c r="H4" s="5" t="s">
        <v>209</v>
      </c>
    </row>
    <row r="5" ht="16.5" spans="1:8">
      <c r="A5" s="6" t="s">
        <v>1087</v>
      </c>
      <c r="B5" s="7" t="s">
        <v>1088</v>
      </c>
      <c r="C5" s="7" t="s">
        <v>1089</v>
      </c>
      <c r="D5" s="7" t="s">
        <v>1090</v>
      </c>
      <c r="E5" s="7" t="s">
        <v>1091</v>
      </c>
      <c r="F5" s="7" t="s">
        <v>1092</v>
      </c>
      <c r="G5" s="7" t="s">
        <v>1093</v>
      </c>
      <c r="H5" s="7" t="s">
        <v>16</v>
      </c>
    </row>
    <row r="6" ht="16.5" spans="1:8">
      <c r="A6" s="6" t="s">
        <v>1087</v>
      </c>
      <c r="B6" s="7" t="s">
        <v>1094</v>
      </c>
      <c r="C6" s="7" t="s">
        <v>1095</v>
      </c>
      <c r="D6" s="7" t="s">
        <v>1096</v>
      </c>
      <c r="E6" s="7" t="s">
        <v>1097</v>
      </c>
      <c r="F6" s="7" t="s">
        <v>1098</v>
      </c>
      <c r="G6" s="7" t="s">
        <v>1093</v>
      </c>
      <c r="H6" s="7" t="s">
        <v>16</v>
      </c>
    </row>
    <row r="7" ht="33" spans="1:8">
      <c r="A7" s="6" t="s">
        <v>1087</v>
      </c>
      <c r="B7" s="7" t="s">
        <v>1099</v>
      </c>
      <c r="C7" s="7" t="s">
        <v>1100</v>
      </c>
      <c r="D7" s="7" t="s">
        <v>1101</v>
      </c>
      <c r="E7" s="7" t="s">
        <v>1102</v>
      </c>
      <c r="F7" s="7" t="s">
        <v>1092</v>
      </c>
      <c r="G7" s="7" t="s">
        <v>1103</v>
      </c>
      <c r="H7" s="7" t="s">
        <v>16</v>
      </c>
    </row>
    <row r="8" ht="16.5" spans="1:8">
      <c r="A8" s="6" t="s">
        <v>1104</v>
      </c>
      <c r="B8" s="7" t="s">
        <v>1105</v>
      </c>
      <c r="C8" s="7" t="s">
        <v>1106</v>
      </c>
      <c r="D8" s="7" t="s">
        <v>1107</v>
      </c>
      <c r="E8" s="7" t="s">
        <v>1108</v>
      </c>
      <c r="F8" s="7" t="s">
        <v>1109</v>
      </c>
      <c r="G8" s="7" t="s">
        <v>1110</v>
      </c>
      <c r="H8" s="7" t="s">
        <v>16</v>
      </c>
    </row>
    <row r="9" ht="16.5" spans="1:8">
      <c r="A9" s="6" t="s">
        <v>1104</v>
      </c>
      <c r="B9" s="7" t="s">
        <v>1111</v>
      </c>
      <c r="C9" s="7" t="s">
        <v>1112</v>
      </c>
      <c r="D9" s="7" t="s">
        <v>1113</v>
      </c>
      <c r="E9" s="7" t="s">
        <v>1114</v>
      </c>
      <c r="F9" s="7" t="s">
        <v>1092</v>
      </c>
      <c r="G9" s="7" t="s">
        <v>1115</v>
      </c>
      <c r="H9" s="7" t="s">
        <v>16</v>
      </c>
    </row>
    <row r="10" ht="33" spans="1:8">
      <c r="A10" s="6" t="s">
        <v>1104</v>
      </c>
      <c r="B10" s="7" t="s">
        <v>1116</v>
      </c>
      <c r="C10" s="7" t="s">
        <v>1117</v>
      </c>
      <c r="D10" s="7" t="s">
        <v>1118</v>
      </c>
      <c r="E10" s="7" t="s">
        <v>1119</v>
      </c>
      <c r="F10" s="7" t="s">
        <v>1120</v>
      </c>
      <c r="G10" s="7" t="s">
        <v>1121</v>
      </c>
      <c r="H10" s="7" t="s">
        <v>16</v>
      </c>
    </row>
    <row r="11" ht="16.5" spans="1:8">
      <c r="A11" s="6" t="s">
        <v>1104</v>
      </c>
      <c r="B11" s="7" t="s">
        <v>1122</v>
      </c>
      <c r="C11" s="7" t="s">
        <v>1123</v>
      </c>
      <c r="D11" s="7" t="s">
        <v>1124</v>
      </c>
      <c r="E11" s="7" t="s">
        <v>1125</v>
      </c>
      <c r="F11" s="7" t="s">
        <v>1126</v>
      </c>
      <c r="G11" s="7" t="s">
        <v>1115</v>
      </c>
      <c r="H11" s="7" t="s">
        <v>16</v>
      </c>
    </row>
    <row r="12" ht="16.5" spans="1:8">
      <c r="A12" s="6" t="s">
        <v>1104</v>
      </c>
      <c r="B12" s="7" t="s">
        <v>1127</v>
      </c>
      <c r="C12" s="7" t="s">
        <v>1128</v>
      </c>
      <c r="D12" s="7" t="s">
        <v>1129</v>
      </c>
      <c r="E12" s="7" t="s">
        <v>1130</v>
      </c>
      <c r="F12" s="7" t="s">
        <v>1120</v>
      </c>
      <c r="G12" s="7" t="s">
        <v>1121</v>
      </c>
      <c r="H12" s="7" t="s">
        <v>16</v>
      </c>
    </row>
    <row r="13" ht="33" spans="1:8">
      <c r="A13" s="6" t="s">
        <v>1131</v>
      </c>
      <c r="B13" s="7" t="s">
        <v>1132</v>
      </c>
      <c r="C13" s="7" t="s">
        <v>1133</v>
      </c>
      <c r="D13" s="7" t="s">
        <v>1134</v>
      </c>
      <c r="E13" s="7" t="s">
        <v>1135</v>
      </c>
      <c r="F13" s="7" t="s">
        <v>1120</v>
      </c>
      <c r="G13" s="7" t="s">
        <v>1103</v>
      </c>
      <c r="H13" s="7" t="s">
        <v>16</v>
      </c>
    </row>
    <row r="14" ht="16.5" spans="1:8">
      <c r="A14" s="6" t="s">
        <v>1131</v>
      </c>
      <c r="B14" s="7" t="s">
        <v>1136</v>
      </c>
      <c r="C14" s="7" t="s">
        <v>1137</v>
      </c>
      <c r="D14" s="7" t="s">
        <v>1138</v>
      </c>
      <c r="E14" s="7" t="s">
        <v>1139</v>
      </c>
      <c r="F14" s="7" t="s">
        <v>1140</v>
      </c>
      <c r="G14" s="7" t="s">
        <v>1093</v>
      </c>
      <c r="H14" s="7" t="s">
        <v>16</v>
      </c>
    </row>
    <row r="15" ht="16.5" spans="1:8">
      <c r="A15" s="6" t="s">
        <v>1131</v>
      </c>
      <c r="B15" s="7" t="s">
        <v>1141</v>
      </c>
      <c r="C15" s="7" t="s">
        <v>1142</v>
      </c>
      <c r="D15" s="7" t="s">
        <v>1143</v>
      </c>
      <c r="E15" s="7" t="s">
        <v>1144</v>
      </c>
      <c r="F15" s="7" t="s">
        <v>1140</v>
      </c>
      <c r="G15" s="7" t="s">
        <v>1121</v>
      </c>
      <c r="H15" s="7" t="s">
        <v>16</v>
      </c>
    </row>
    <row r="16" ht="16.5" spans="1:8">
      <c r="A16" s="6" t="s">
        <v>1131</v>
      </c>
      <c r="B16" s="7" t="s">
        <v>1145</v>
      </c>
      <c r="C16" s="7" t="s">
        <v>1146</v>
      </c>
      <c r="D16" s="7" t="s">
        <v>1147</v>
      </c>
      <c r="E16" s="7" t="s">
        <v>1148</v>
      </c>
      <c r="F16" s="7" t="s">
        <v>1149</v>
      </c>
      <c r="G16" s="7" t="s">
        <v>1110</v>
      </c>
      <c r="H16" s="7" t="s">
        <v>16</v>
      </c>
    </row>
    <row r="17" ht="33" spans="1:8">
      <c r="A17" s="6" t="s">
        <v>1150</v>
      </c>
      <c r="B17" s="7" t="s">
        <v>1151</v>
      </c>
      <c r="C17" s="7" t="s">
        <v>1152</v>
      </c>
      <c r="D17" s="7" t="s">
        <v>1153</v>
      </c>
      <c r="E17" s="7" t="s">
        <v>1154</v>
      </c>
      <c r="F17" s="7" t="s">
        <v>1092</v>
      </c>
      <c r="G17" s="7" t="s">
        <v>1155</v>
      </c>
      <c r="H17" s="7" t="s">
        <v>18</v>
      </c>
    </row>
    <row r="18" ht="16.5" spans="1:8">
      <c r="A18" s="6" t="s">
        <v>1150</v>
      </c>
      <c r="B18" s="7" t="s">
        <v>1156</v>
      </c>
      <c r="C18" s="7" t="s">
        <v>1157</v>
      </c>
      <c r="D18" s="7" t="s">
        <v>1158</v>
      </c>
      <c r="E18" s="7" t="s">
        <v>1159</v>
      </c>
      <c r="F18" s="7" t="s">
        <v>1092</v>
      </c>
      <c r="G18" s="7" t="s">
        <v>1160</v>
      </c>
      <c r="H18" s="7" t="s">
        <v>18</v>
      </c>
    </row>
    <row r="19" ht="16.5" spans="1:8">
      <c r="A19" s="6" t="s">
        <v>1150</v>
      </c>
      <c r="B19" s="7" t="s">
        <v>1161</v>
      </c>
      <c r="C19" s="7" t="s">
        <v>1162</v>
      </c>
      <c r="D19" s="7" t="s">
        <v>1163</v>
      </c>
      <c r="E19" s="7" t="s">
        <v>1164</v>
      </c>
      <c r="F19" s="7" t="s">
        <v>1092</v>
      </c>
      <c r="G19" s="7" t="s">
        <v>1155</v>
      </c>
      <c r="H19" s="7" t="s">
        <v>18</v>
      </c>
    </row>
    <row r="20" ht="16.5" spans="1:8">
      <c r="A20" s="6" t="s">
        <v>1165</v>
      </c>
      <c r="B20" s="7" t="s">
        <v>349</v>
      </c>
      <c r="C20" s="7" t="s">
        <v>1166</v>
      </c>
      <c r="D20" s="7" t="s">
        <v>1167</v>
      </c>
      <c r="E20" s="7" t="s">
        <v>1168</v>
      </c>
      <c r="F20" s="7" t="s">
        <v>1120</v>
      </c>
      <c r="G20" s="7" t="s">
        <v>1155</v>
      </c>
      <c r="H20" s="7" t="s">
        <v>18</v>
      </c>
    </row>
    <row r="21" ht="16.5" spans="1:8">
      <c r="A21" s="6" t="s">
        <v>1165</v>
      </c>
      <c r="B21" s="7" t="s">
        <v>1169</v>
      </c>
      <c r="C21" s="7" t="s">
        <v>1170</v>
      </c>
      <c r="D21" s="7" t="s">
        <v>1171</v>
      </c>
      <c r="E21" s="7" t="s">
        <v>1172</v>
      </c>
      <c r="F21" s="7" t="s">
        <v>1126</v>
      </c>
      <c r="G21" s="7" t="s">
        <v>1115</v>
      </c>
      <c r="H21" s="7" t="s">
        <v>18</v>
      </c>
    </row>
    <row r="22" ht="16.5" spans="1:8">
      <c r="A22" s="8" t="s">
        <v>1173</v>
      </c>
      <c r="B22" s="9" t="s">
        <v>1174</v>
      </c>
      <c r="C22" s="9" t="s">
        <v>1175</v>
      </c>
      <c r="D22" s="9" t="s">
        <v>1176</v>
      </c>
      <c r="E22" s="9" t="s">
        <v>1177</v>
      </c>
      <c r="F22" s="9" t="s">
        <v>1178</v>
      </c>
      <c r="G22" s="9" t="s">
        <v>1179</v>
      </c>
      <c r="H22" s="9" t="s">
        <v>16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workbookViewId="0">
      <selection activeCell="D24" sqref="D24"/>
    </sheetView>
  </sheetViews>
  <sheetFormatPr defaultColWidth="9" defaultRowHeight="14.25" outlineLevelCol="5"/>
  <cols>
    <col min="1" max="1" width="20" customWidth="1"/>
    <col min="2" max="2" width="48" customWidth="1"/>
    <col min="3" max="3" width="32" customWidth="1"/>
    <col min="4" max="4" width="54" customWidth="1"/>
  </cols>
  <sheetData>
    <row r="1" ht="34" customHeight="1" spans="1:6">
      <c r="A1" s="1" t="s">
        <v>1180</v>
      </c>
      <c r="B1" s="1"/>
      <c r="C1" s="1"/>
      <c r="D1" s="1"/>
      <c r="E1" s="1"/>
      <c r="F1" s="1"/>
    </row>
    <row r="2" ht="26" customHeight="1" spans="1:6">
      <c r="A2" s="2" t="s">
        <v>1181</v>
      </c>
      <c r="B2" s="2"/>
      <c r="C2" s="2"/>
      <c r="D2" s="2"/>
      <c r="E2" s="2"/>
      <c r="F2" s="2"/>
    </row>
    <row r="3" ht="16.5" spans="1:6">
      <c r="A3" s="3"/>
      <c r="B3" s="3"/>
      <c r="C3" s="3"/>
      <c r="D3" s="3"/>
      <c r="E3" s="3"/>
      <c r="F3" s="3"/>
    </row>
    <row r="4" ht="28" customHeight="1" spans="1:6">
      <c r="A4" s="4" t="s">
        <v>1182</v>
      </c>
      <c r="B4" s="5" t="s">
        <v>1183</v>
      </c>
      <c r="C4" s="5" t="s">
        <v>1184</v>
      </c>
      <c r="D4" s="5" t="s">
        <v>1185</v>
      </c>
      <c r="E4" s="3"/>
      <c r="F4" s="3"/>
    </row>
    <row r="5" ht="16.5" spans="1:6">
      <c r="A5" s="6" t="s">
        <v>1186</v>
      </c>
      <c r="B5" s="7" t="s">
        <v>1187</v>
      </c>
      <c r="C5" s="7" t="s">
        <v>1188</v>
      </c>
      <c r="D5" s="7" t="s">
        <v>1189</v>
      </c>
      <c r="E5" s="3"/>
      <c r="F5" s="3"/>
    </row>
    <row r="6" ht="16.5" spans="1:6">
      <c r="A6" s="6" t="s">
        <v>994</v>
      </c>
      <c r="B6" s="7" t="s">
        <v>61</v>
      </c>
      <c r="C6" s="7" t="s">
        <v>1190</v>
      </c>
      <c r="D6" s="7" t="s">
        <v>1191</v>
      </c>
      <c r="E6" s="3"/>
      <c r="F6" s="3"/>
    </row>
    <row r="7" ht="16.5" spans="1:6">
      <c r="A7" s="6" t="s">
        <v>522</v>
      </c>
      <c r="B7" s="7" t="s">
        <v>1192</v>
      </c>
      <c r="C7" s="7" t="s">
        <v>1193</v>
      </c>
      <c r="D7" s="7" t="s">
        <v>1194</v>
      </c>
      <c r="E7" s="3"/>
      <c r="F7" s="3"/>
    </row>
    <row r="8" ht="16.5" spans="1:6">
      <c r="A8" s="6" t="s">
        <v>782</v>
      </c>
      <c r="B8" s="7" t="s">
        <v>1195</v>
      </c>
      <c r="C8" s="7" t="s">
        <v>1196</v>
      </c>
      <c r="D8" s="7" t="s">
        <v>1197</v>
      </c>
      <c r="E8" s="3"/>
      <c r="F8" s="3"/>
    </row>
    <row r="9" ht="16.5" spans="1:6">
      <c r="A9" s="6" t="s">
        <v>1198</v>
      </c>
      <c r="B9" s="7" t="s">
        <v>1199</v>
      </c>
      <c r="C9" s="7" t="s">
        <v>1200</v>
      </c>
      <c r="D9" s="7" t="s">
        <v>1201</v>
      </c>
      <c r="E9" s="3"/>
      <c r="F9" s="3"/>
    </row>
    <row r="10" ht="33" spans="1:6">
      <c r="A10" s="6" t="s">
        <v>15</v>
      </c>
      <c r="B10" s="7" t="s">
        <v>1202</v>
      </c>
      <c r="C10" s="7" t="s">
        <v>1203</v>
      </c>
      <c r="D10" s="7" t="s">
        <v>1204</v>
      </c>
      <c r="E10" s="3"/>
      <c r="F10" s="3"/>
    </row>
    <row r="11" ht="16.5" spans="1:6">
      <c r="A11" s="6" t="s">
        <v>17</v>
      </c>
      <c r="B11" s="7" t="s">
        <v>1205</v>
      </c>
      <c r="C11" s="7" t="s">
        <v>1203</v>
      </c>
      <c r="D11" s="7" t="s">
        <v>1206</v>
      </c>
      <c r="E11" s="3"/>
      <c r="F11" s="3"/>
    </row>
    <row r="12" ht="16.5" spans="1:6">
      <c r="A12" s="6" t="s">
        <v>19</v>
      </c>
      <c r="B12" s="7" t="s">
        <v>1207</v>
      </c>
      <c r="C12" s="7" t="s">
        <v>1203</v>
      </c>
      <c r="D12" s="7" t="s">
        <v>1208</v>
      </c>
      <c r="E12" s="3"/>
      <c r="F12" s="3"/>
    </row>
    <row r="13" ht="16.5" spans="1:6">
      <c r="A13" s="6" t="s">
        <v>21</v>
      </c>
      <c r="B13" s="7" t="s">
        <v>1209</v>
      </c>
      <c r="C13" s="7" t="s">
        <v>1203</v>
      </c>
      <c r="D13" s="7" t="s">
        <v>1210</v>
      </c>
      <c r="E13" s="3"/>
      <c r="F13" s="3"/>
    </row>
    <row r="14" ht="16.5" spans="1:6">
      <c r="A14" s="6" t="s">
        <v>23</v>
      </c>
      <c r="B14" s="7" t="s">
        <v>1211</v>
      </c>
      <c r="C14" s="7" t="s">
        <v>1203</v>
      </c>
      <c r="D14" s="7" t="s">
        <v>1212</v>
      </c>
      <c r="E14" s="3"/>
      <c r="F14" s="3"/>
    </row>
    <row r="15" ht="33" spans="1:6">
      <c r="A15" s="6" t="s">
        <v>1213</v>
      </c>
      <c r="B15" s="7" t="s">
        <v>1214</v>
      </c>
      <c r="C15" s="7" t="s">
        <v>1215</v>
      </c>
      <c r="D15" s="7" t="s">
        <v>1216</v>
      </c>
      <c r="E15" s="3"/>
      <c r="F15" s="3"/>
    </row>
    <row r="16" ht="33" spans="1:6">
      <c r="A16" s="8" t="s">
        <v>1217</v>
      </c>
      <c r="B16" s="9" t="s">
        <v>1218</v>
      </c>
      <c r="C16" s="9" t="s">
        <v>1219</v>
      </c>
      <c r="D16" s="9" t="s">
        <v>1220</v>
      </c>
      <c r="E16" s="3"/>
      <c r="F16" s="3"/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00_项目总览</vt:lpstr>
      <vt:lpstr>01_项目概述</vt:lpstr>
      <vt:lpstr>02_核心流程</vt:lpstr>
      <vt:lpstr>03_功能清单</vt:lpstr>
      <vt:lpstr>04_产品规则</vt:lpstr>
      <vt:lpstr>05_系统架构</vt:lpstr>
      <vt:lpstr>06_数据字典</vt:lpstr>
      <vt:lpstr>07_运行手册</vt:lpstr>
      <vt:lpstr>08_验收矩阵</vt:lpstr>
      <vt:lpstr>09_风险清单</vt:lpstr>
      <vt:lpstr>10_版本路线图</vt:lpstr>
      <vt:lpstr>11_证据口径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WPS_1729336555</cp:lastModifiedBy>
  <dcterms:created xsi:type="dcterms:W3CDTF">2026-06-25T12:53:49Z</dcterms:created>
  <dcterms:modified xsi:type="dcterms:W3CDTF">2026-06-26T02:45:36Z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EE6CF8A1CC8F4869A3FD50E4F1E771E2_12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