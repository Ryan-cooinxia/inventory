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19697d1ea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开发总览" sheetId="1" r:id="R1e3ffef9d0e64d6f"/>
    <x:sheet xmlns:r="http://schemas.openxmlformats.org/officeDocument/2006/relationships" name="01_目标与范围" sheetId="2" r:id="Rc87b1b7f4aa04ae0"/>
    <x:sheet xmlns:r="http://schemas.openxmlformats.org/officeDocument/2006/relationships" name="02_商品事实模型" sheetId="3" r:id="Rf92929b02bb84e1d"/>
    <x:sheet xmlns:r="http://schemas.openxmlformats.org/officeDocument/2006/relationships" name="03_开发任务清单" sheetId="4" r:id="R251e1063c9d24c09"/>
    <x:sheet xmlns:r="http://schemas.openxmlformats.org/officeDocument/2006/relationships" name="04_页面与流程" sheetId="5" r:id="Raf749fe2784348c2"/>
    <x:sheet xmlns:r="http://schemas.openxmlformats.org/officeDocument/2006/relationships" name="05_验收标准" sheetId="6" r:id="Rd75642a02a204da1"/>
    <x:sheet xmlns:r="http://schemas.openxmlformats.org/officeDocument/2006/relationships" name="06_风险与决策" sheetId="7" r:id="Rf1dfc48c94f341f8"/>
    <x:sheet xmlns:r="http://schemas.openxmlformats.org/officeDocument/2006/relationships" name="07_开发日志" sheetId="8" r:id="R18beae7397bf4ba5"/>
  </x:sheets>
</x:workbook>
</file>

<file path=xl/sharedStrings.xml><?xml version="1.0" encoding="utf-8"?>
<x:sst xmlns:x="http://schemas.openxmlformats.org/spreadsheetml/2006/main">
  <x:si>
    <x:t xml:space="preserve">AI 生图下一阶段开发总览</x:t>
  </x:si>
  <x:si>
    <x:t xml:space="preserve">主开发文档｜持续维护｜最后建立日期：2026-06-25</x:t>
  </x:si>
  <x:si>
    <x:t xml:space="preserve">开发目的</x:t>
  </x:si>
  <x:si>
    <x:t xml:space="preserve">最紧急需求</x:t>
  </x:si>
  <x:si>
    <x:t xml:space="preserve">当前基础</x:t>
  </x:si>
  <x:si>
    <x:t xml:space="preserve">完成门槛</x:t>
  </x:si>
  <x:si>
    <x:t xml:space="preserve">用真实商品资料生成更能吸引点击、解释商品并促进下单的主图、SKU图和详情图</x:t>
  </x:si>
  <x:si>
    <x:t xml:space="preserve">商品多模态理解 + Product Brief 商品事实档案 + 证据链 + 人工确认页面</x:t>
  </x:si>
  <x:si>
    <x:t xml:space="preserve">已具备商品采集、主体识别、母图抠图、多模型生图的部分能力</x:t>
  </x:si>
  <x:si>
    <x:t xml:space="preserve">只有确认事实才能进入 Prompt；生成结果必须经过自动 QA 和人工选择</x:t>
  </x:si>
  <x:si>
    <x:t xml:space="preserve">P0 实施顺序</x:t>
  </x:si>
  <x:si>
    <x:t xml:space="preserve">状态</x:t>
  </x:si>
  <x:si>
    <x:t xml:space="preserve">数量</x:t>
  </x:si>
  <x:si>
    <x:t xml:space="preserve">顺序</x:t>
  </x:si>
  <x:si>
    <x:t xml:space="preserve">工作包</x:t>
  </x:si>
  <x:si>
    <x:t xml:space="preserve">完成标志</x:t>
  </x:si>
  <x:si>
    <x:t xml:space="preserve">16</x:t>
  </x:si>
  <x:si>
    <x:t xml:space="preserve">未开始</x:t>
  </x:si>
  <x:si>
    <x:t xml:space="preserve">1</x:t>
  </x:si>
  <x:si>
    <x:t xml:space="preserve">事实 Schema + 证据落库</x:t>
  </x:si>
  <x:si>
    <x:t xml:space="preserve">Product Brief 与 ProductFactEvidence 可真实使用</x:t>
  </x:si>
  <x:si>
    <x:t xml:space="preserve">开发中</x:t>
  </x:si>
  <x:si>
    <x:t xml:space="preserve">2</x:t>
  </x:si>
  <x:si>
    <x:t xml:space="preserve">网页/图片多模态提取</x:t>
  </x:si>
  <x:si>
    <x:t xml:space="preserve">逐图、逐段生成带来源的事实候选</x:t>
  </x:si>
  <x:si>
    <x:t xml:space="preserve">待验证</x:t>
  </x:si>
  <x:si>
    <x:t xml:space="preserve">3</x:t>
  </x:si>
  <x:si>
    <x:t xml:space="preserve">合并、冲突检测、人工确认</x:t>
  </x:si>
  <x:si>
    <x:t xml:space="preserve">关键事实可确认、拒绝、修改并保留历史</x:t>
  </x:si>
  <x:si>
    <x:t xml:space="preserve">已完成</x:t>
  </x:si>
  <x:si>
    <x:t xml:space="preserve">4</x:t>
  </x:si>
  <x:si>
    <x:t xml:space="preserve">图片任务规划与参考图绑定</x:t>
  </x:si>
  <x:si>
    <x:t xml:space="preserve">主图/SKU/详情槽位均有职责、事实和参考图</x:t>
  </x:si>
  <x:si>
    <x:t xml:space="preserve">有缺陷</x:t>
  </x:si>
  <x:si>
    <x:t xml:space="preserve">5</x:t>
  </x:si>
  <x:si>
    <x:t xml:space="preserve">事实约束 Prompt + 候选图快照</x:t>
  </x:si>
  <x:si>
    <x:t xml:space="preserve">每张图可追溯到事实版本和参考素材</x:t>
  </x:si>
  <x:si>
    <x:t xml:space="preserve">6</x:t>
  </x:si>
  <x:si>
    <x:t xml:space="preserve">自动 QA + 人工选图</x:t>
  </x:si>
  <x:si>
    <x:t xml:space="preserve">错误图被阻断，形成可发布图片组</x:t>
  </x:si>
  <x:si>
    <x:t xml:space="preserve">文档维护规则</x:t>
  </x:si>
  <x:si>
    <x:t xml:space="preserve">主文档位置</x:t>
  </x:si>
  <x:si>
    <x:t xml:space="preserve">G:/inventory/项目改动日志/2026-06-25_AI生图商品理解与事实档案开发文档.xlsx</x:t>
  </x:si>
  <x:si>
    <x:t xml:space="preserve">每次必须更新</x:t>
  </x:si>
  <x:si>
    <x:t xml:space="preserve">03_开发任务清单、05_验收标准、06_风险与决策、07_开发日志</x:t>
  </x:si>
  <x:si>
    <x:t xml:space="preserve">同时记录</x:t>
  </x:si>
  <x:si>
    <x:t xml:space="preserve">在 G:\inventory\项目改动日志 创建或更新对应 Markdown 改动日志</x:t>
  </x:si>
  <x:si>
    <x:t xml:space="preserve">完成定义</x:t>
  </x:si>
  <x:si>
    <x:t xml:space="preserve">代码、测试证据、Markdown 日志、本 Excel 四项同步完成</x:t>
  </x:si>
  <x:si>
    <x:t xml:space="preserve">AI 生图功能目标与范围</x:t>
  </x:si>
  <x:si>
    <x:t xml:space="preserve">核心目标不是“生成图片”，而是生成能够吸引点击、解释商品并促进下单的可信电商图片</x:t>
  </x:si>
  <x:si>
    <x:t xml:space="preserve">主题</x:t>
  </x:si>
  <x:si>
    <x:t xml:space="preserve">明确要求</x:t>
  </x:si>
  <x:si>
    <x:t xml:space="preserve">级别</x:t>
  </x:si>
  <x:si>
    <x:t xml:space="preserve">业务目标</x:t>
  </x:si>
  <x:si>
    <x:t xml:space="preserve">针对真实产品生成主图、SKU 图和详情图，提高点击、浏览、理解与下单转化</x:t>
  </x:si>
  <x:si>
    <x:t xml:space="preserve">P0</x:t>
  </x:si>
  <x:si>
    <x:t xml:space="preserve">目标用户</x:t>
  </x:si>
  <x:si>
    <x:t xml:space="preserve">OZON 跨境电商运营人员、图片审核人员、商品资料整理人员</x:t>
  </x:si>
  <x:si>
    <x:t xml:space="preserve">核心输入</x:t>
  </x:si>
  <x:si>
    <x:t xml:space="preserve">商品链接、网页文字、参数、SKU、包装清单、采集图片、产品/配件母图、人工补充信息</x:t>
  </x:si>
  <x:si>
    <x:t xml:space="preserve">核心输出</x:t>
  </x:si>
  <x:si>
    <x:t xml:space="preserve">已审核商品事实档案、图片方案、参考素材绑定、候选图、QA 结果、可发布图片组</x:t>
  </x:si>
  <x:si>
    <x:t xml:space="preserve">主图职责</x:t>
  </x:si>
  <x:si>
    <x:t xml:space="preserve">让客户快速识别商品，突出核心价值，产生点击欲望；不得改变真实产品结构</x:t>
  </x:si>
  <x:si>
    <x:t xml:space="preserve">SKU 图职责</x:t>
  </x:si>
  <x:si>
    <x:t xml:space="preserve">准确区分型号、颜色、数量、版本和包装内容；不同 SKU 不得串图串参数</x:t>
  </x:si>
  <x:si>
    <x:t xml:space="preserve">详情图职责</x:t>
  </x:si>
  <x:si>
    <x:t xml:space="preserve">回答买家疑问、证明卖点、展示功能/细节/尺寸/场景，减少购买顾虑</x:t>
  </x:si>
  <x:si>
    <x:t xml:space="preserve">已能从部分来源图片识别主体并生成透明产品母图；已有多模型生图与参考图代码骨架</x:t>
  </x:si>
  <x:si>
    <x:t xml:space="preserve">事实</x:t>
  </x:si>
  <x:si>
    <x:t xml:space="preserve">当前缺口</x:t>
  </x:si>
  <x:si>
    <x:t xml:space="preserve">系统尚缺可靠的商品多模态理解、事实证据链、冲突确认和自动视觉 QA</x:t>
  </x:si>
  <x:si>
    <x:t xml:space="preserve">最紧急开发</x:t>
  </x:si>
  <x:si>
    <x:t xml:space="preserve">本阶段不优先</x:t>
  </x:si>
  <x:si>
    <x:t xml:space="preserve">扩充更多模型、更多风格、无事实约束的批量生图、完全自动发布</x:t>
  </x:si>
  <x:si>
    <x:t xml:space="preserve">边界</x:t>
  </x:si>
  <x:si>
    <x:t xml:space="preserve">核心原则</x:t>
  </x:si>
  <x:si>
    <x:t xml:space="preserve">只有已确认事实才能进入图片方案和 Prompt；AI 推断、未知和冲突信息不得伪装成事实</x:t>
  </x:si>
  <x:si>
    <x:t xml:space="preserve">商品事实档案与证据模型</x:t>
  </x:si>
  <x:si>
    <x:t xml:space="preserve">建立生图前唯一可信的 Product Brief；每条事实必须能回到网页、图片或人工确认</x:t>
  </x:si>
  <x:si>
    <x:t xml:space="preserve">对象</x:t>
  </x:si>
  <x:si>
    <x:t xml:space="preserve">中文含义</x:t>
  </x:si>
  <x:si>
    <x:t xml:space="preserve">建议字段</x:t>
  </x:si>
  <x:si>
    <x:t xml:space="preserve">来源</x:t>
  </x:si>
  <x:si>
    <x:t xml:space="preserve">关键规则</x:t>
  </x:si>
  <x:si>
    <x:t xml:space="preserve">主要消费者</x:t>
  </x:si>
  <x:si>
    <x:t xml:space="preserve">product_identity</x:t>
  </x:si>
  <x:si>
    <x:t xml:space="preserve">商品身份</x:t>
  </x:si>
  <x:si>
    <x:t xml:space="preserve">name, brand, model, category, product_type</x:t>
  </x:si>
  <x:si>
    <x:t xml:space="preserve">链接标题、详情、图片文字</x:t>
  </x:si>
  <x:si>
    <x:t xml:space="preserve">品牌/型号不确定时必须待确认</x:t>
  </x:si>
  <x:si>
    <x:t xml:space="preserve">主图/全部</x:t>
  </x:si>
  <x:si>
    <x:t xml:space="preserve">physical_structure</x:t>
  </x:si>
  <x:si>
    <x:t xml:space="preserve">物理结构</x:t>
  </x:si>
  <x:si>
    <x:t xml:space="preserve">shape, proportion, color, materials, components, buttons_ports</x:t>
  </x:si>
  <x:si>
    <x:t xml:space="preserve">产品母图、细节图</x:t>
  </x:si>
  <x:si>
    <x:t xml:space="preserve">形状、数量、位置属于不可变结构</x:t>
  </x:si>
  <x:si>
    <x:t xml:space="preserve">全部图片</x:t>
  </x:si>
  <x:si>
    <x:t xml:space="preserve">sku_variants</x:t>
  </x:si>
  <x:si>
    <x:t xml:space="preserve">SKU 差异</x:t>
  </x:si>
  <x:si>
    <x:t xml:space="preserve">sku, version, color, size, quantity, package_contents, reference_images</x:t>
  </x:si>
  <x:si>
    <x:t xml:space="preserve">SKU 文本、SKU 图、包装图</x:t>
  </x:si>
  <x:si>
    <x:t xml:space="preserve">SKU 之间不得共享未经确认的差异</x:t>
  </x:si>
  <x:si>
    <x:t xml:space="preserve">SKU图</x:t>
  </x:si>
  <x:si>
    <x:t xml:space="preserve">verified_parameters</x:t>
  </x:si>
  <x:si>
    <x:t xml:space="preserve">已确认参数</x:t>
  </x:si>
  <x:si>
    <x:t xml:space="preserve">name, value, unit, applicable_sku</x:t>
  </x:si>
  <x:si>
    <x:t xml:space="preserve">详情参数图、网页参数表</x:t>
  </x:si>
  <x:si>
    <x:t xml:space="preserve">参数需保留单位和适用 SKU</x:t>
  </x:si>
  <x:si>
    <x:t xml:space="preserve">详情图</x:t>
  </x:si>
  <x:si>
    <x:t xml:space="preserve">selling_points</x:t>
  </x:si>
  <x:si>
    <x:t xml:space="preserve">卖点</x:t>
  </x:si>
  <x:si>
    <x:t xml:space="preserve">claim, buyer_value, proof_points, priority</x:t>
  </x:si>
  <x:si>
    <x:t xml:space="preserve">网页描述、图片、运营确认</x:t>
  </x:si>
  <x:si>
    <x:t xml:space="preserve">卖点必须有事实或视觉证据</x:t>
  </x:si>
  <x:si>
    <x:t xml:space="preserve">主图/详情图</x:t>
  </x:si>
  <x:si>
    <x:t xml:space="preserve">usage_scenarios</x:t>
  </x:si>
  <x:si>
    <x:t xml:space="preserve">使用场景</x:t>
  </x:si>
  <x:si>
    <x:t xml:space="preserve">scene, environment, prerequisite, applicable_sku</x:t>
  </x:si>
  <x:si>
    <x:t xml:space="preserve">详情图、说明书、人工确认</x:t>
  </x:si>
  <x:si>
    <x:t xml:space="preserve">不得把不适用场景用于商品</x:t>
  </x:si>
  <x:si>
    <x:t xml:space="preserve">target_customers</x:t>
  </x:si>
  <x:si>
    <x:t xml:space="preserve">目标客户</x:t>
  </x:si>
  <x:si>
    <x:t xml:space="preserve">user_type, need, pain_point</x:t>
  </x:si>
  <x:si>
    <x:t xml:space="preserve">商品用途与运营判断</x:t>
  </x:si>
  <x:si>
    <x:t xml:space="preserve">属于策略判断，不等于产品事实</x:t>
  </x:si>
  <x:si>
    <x:t xml:space="preserve">图片规划</x:t>
  </x:si>
  <x:si>
    <x:t xml:space="preserve">buyer_questions</x:t>
  </x:si>
  <x:si>
    <x:t xml:space="preserve">买家疑问</x:t>
  </x:si>
  <x:si>
    <x:t xml:space="preserve">question, answer, evidence, image_role</x:t>
  </x:si>
  <x:si>
    <x:t xml:space="preserve">评论/运营经验/商品信息</x:t>
  </x:si>
  <x:si>
    <x:t xml:space="preserve">每张详情图建议只回答一组疑问</x:t>
  </x:si>
  <x:si>
    <x:t xml:space="preserve">immutable_features</x:t>
  </x:si>
  <x:si>
    <x:t xml:space="preserve">不可变特征</x:t>
  </x:si>
  <x:si>
    <x:t xml:space="preserve">feature, location, count, visual_reference</x:t>
  </x:si>
  <x:si>
    <x:t xml:space="preserve">母图、细节图</x:t>
  </x:si>
  <x:si>
    <x:t xml:space="preserve">生图时必须严格保护</x:t>
  </x:si>
  <x:si>
    <x:t xml:space="preserve">prohibited_claims</x:t>
  </x:si>
  <x:si>
    <x:t xml:space="preserve">禁用表达</x:t>
  </x:si>
  <x:si>
    <x:t xml:space="preserve">claim, reason, regulation_source</x:t>
  </x:si>
  <x:si>
    <x:t xml:space="preserve">平台规则、人工配置</x:t>
  </x:si>
  <x:si>
    <x:t xml:space="preserve">无认证、无证据、夸大词禁止使用</x:t>
  </x:si>
  <x:si>
    <x:t xml:space="preserve">文案/图片</x:t>
  </x:si>
  <x:si>
    <x:t xml:space="preserve">unknown_fields</x:t>
  </x:si>
  <x:si>
    <x:t xml:space="preserve">未知信息</x:t>
  </x:si>
  <x:si>
    <x:t xml:space="preserve">field, reason, required_action</x:t>
  </x:si>
  <x:si>
    <x:t xml:space="preserve">信息缺失</x:t>
  </x:si>
  <x:si>
    <x:t xml:space="preserve">不得自动补全</x:t>
  </x:si>
  <x:si>
    <x:t xml:space="preserve">阻断/警告</x:t>
  </x:si>
  <x:si>
    <x:t xml:space="preserve">conflicts</x:t>
  </x:si>
  <x:si>
    <x:t xml:space="preserve">信息冲突</x:t>
  </x:si>
  <x:si>
    <x:t xml:space="preserve">field, values, sources, resolution</x:t>
  </x:si>
  <x:si>
    <x:t xml:space="preserve">多图片/网页冲突</x:t>
  </x:si>
  <x:si>
    <x:t xml:space="preserve">人工解决前不得进入 Prompt</x:t>
  </x:si>
  <x:si>
    <x:t xml:space="preserve">阻断</x:t>
  </x:si>
  <x:si>
    <x:t xml:space="preserve">evidence</x:t>
  </x:si>
  <x:si>
    <x:t xml:space="preserve">事实证据</x:t>
  </x:si>
  <x:si>
    <x:t xml:space="preserve">source_type, source_id, excerpt/region, confidence, confirmed_by</x:t>
  </x:si>
  <x:si>
    <x:t xml:space="preserve">网页段落、图片框、人工输入</x:t>
  </x:si>
  <x:si>
    <x:t xml:space="preserve">所有 P0 事实至少一条证据</x:t>
  </x:si>
  <x:si>
    <x:t xml:space="preserve">审计</x:t>
  </x:si>
  <x:si>
    <x:t xml:space="preserve">事实状态与使用门禁</x:t>
  </x:si>
  <x:si>
    <x:t xml:space="preserve">含义</x:t>
  </x:si>
  <x:si>
    <x:t xml:space="preserve">系统行为</x:t>
  </x:si>
  <x:si>
    <x:t xml:space="preserve">处理动作</x:t>
  </x:si>
  <x:si>
    <x:t xml:space="preserve">extracted</x:t>
  </x:si>
  <x:si>
    <x:t xml:space="preserve">AI/解析器已提取，尚未确认</x:t>
  </x:si>
  <x:si>
    <x:t xml:space="preserve">不能用于高风险参数或发布事实</x:t>
  </x:si>
  <x:si>
    <x:t xml:space="preserve">待人工审核</x:t>
  </x:si>
  <x:si>
    <x:t xml:space="preserve">inferred</x:t>
  </x:si>
  <x:si>
    <x:t xml:space="preserve">AI 根据上下文推断</x:t>
  </x:si>
  <x:si>
    <x:t xml:space="preserve">仅供建议，不得直接进入 Prompt</x:t>
  </x:si>
  <x:si>
    <x:t xml:space="preserve">补充证据或拒绝</x:t>
  </x:si>
  <x:si>
    <x:t xml:space="preserve">verified</x:t>
  </x:si>
  <x:si>
    <x:t xml:space="preserve">证据充分且规则校验通过</x:t>
  </x:si>
  <x:si>
    <x:t xml:space="preserve">可进入图片规划</x:t>
  </x:si>
  <x:si>
    <x:t xml:space="preserve">仍可人工修订</x:t>
  </x:si>
  <x:si>
    <x:t xml:space="preserve">confirmed</x:t>
  </x:si>
  <x:si>
    <x:t xml:space="preserve">由运营人员明确确认</x:t>
  </x:si>
  <x:si>
    <x:t xml:space="preserve">可用于图片 Prompt 与发布</x:t>
  </x:si>
  <x:si>
    <x:t xml:space="preserve">记录确认人和时间</x:t>
  </x:si>
  <x:si>
    <x:t xml:space="preserve">conflict</x:t>
  </x:si>
  <x:si>
    <x:t xml:space="preserve">多个来源矛盾</x:t>
  </x:si>
  <x:si>
    <x:t xml:space="preserve">阻断相关图片任务</x:t>
  </x:si>
  <x:si>
    <x:t xml:space="preserve">人工选择正确值</x:t>
  </x:si>
  <x:si>
    <x:t xml:space="preserve">unknown</x:t>
  </x:si>
  <x:si>
    <x:t xml:space="preserve">没有可靠信息</x:t>
  </x:si>
  <x:si>
    <x:t xml:space="preserve">不得编造</x:t>
  </x:si>
  <x:si>
    <x:t xml:space="preserve">人工补充或降低图片任务范围</x:t>
  </x:si>
  <x:si>
    <x:t xml:space="preserve">rejected</x:t>
  </x:si>
  <x:si>
    <x:t xml:space="preserve">错误或不适用</x:t>
  </x:si>
  <x:si>
    <x:t xml:space="preserve">禁止使用</x:t>
  </x:si>
  <x:si>
    <x:t xml:space="preserve">保留拒绝原因</x:t>
  </x:si>
  <x:si>
    <x:t xml:space="preserve">开发任务清单</x:t>
  </x:si>
  <x:si>
    <x:t xml:space="preserve">最紧急路径：商品事实档案 → 证据链 → 人工确认 → 图片任务规划 → 参考图绑定 → 自动 QA</x:t>
  </x:si>
  <x:si>
    <x:t xml:space="preserve">编号</x:t>
  </x:si>
  <x:si>
    <x:t xml:space="preserve">模块</x:t>
  </x:si>
  <x:si>
    <x:t xml:space="preserve">任务</x:t>
  </x:si>
  <x:si>
    <x:t xml:space="preserve">用户价值</x:t>
  </x:si>
  <x:si>
    <x:t xml:space="preserve">优先级</x:t>
  </x:si>
  <x:si>
    <x:t xml:space="preserve">负责人</x:t>
  </x:si>
  <x:si>
    <x:t xml:space="preserve">验收产物</x:t>
  </x:si>
  <x:si>
    <x:t xml:space="preserve">T-001</x:t>
  </x:si>
  <x:si>
    <x:t xml:space="preserve">商品理解</x:t>
  </x:si>
  <x:si>
    <x:t xml:space="preserve">定义 Product Brief JSON Schema</x:t>
  </x:si>
  <x:si>
    <x:t xml:space="preserve">统一网页、图片、SKU、参数、证据输出结构</x:t>
  </x:si>
  <x:si>
    <x:t xml:space="preserve">后端</x:t>
  </x:si>
  <x:si>
    <x:t xml:space="preserve">Schema 文档+校验器通过样例</x:t>
  </x:si>
  <x:si>
    <x:t xml:space="preserve">T-002</x:t>
  </x:si>
  <x:si>
    <x:t xml:space="preserve">数据模型</x:t>
  </x:si>
  <x:si>
    <x:t xml:space="preserve">完善 ProductFactEvidence 实际落库</x:t>
  </x:si>
  <x:si>
    <x:t xml:space="preserve">让每条事实可追溯</x:t>
  </x:si>
  <x:si>
    <x:t xml:space="preserve">事实可关联来源图片/网页片段/确认人</x:t>
  </x:si>
  <x:si>
    <x:t xml:space="preserve">T-003</x:t>
  </x:si>
  <x:si>
    <x:t xml:space="preserve">网页解析</x:t>
  </x:si>
  <x:si>
    <x:t xml:space="preserve">提取标题、详情、参数表、SKU、包装清单</x:t>
  </x:si>
  <x:si>
    <x:t xml:space="preserve">形成文字事实候选</x:t>
  </x:si>
  <x:si>
    <x:t xml:space="preserve">采集服务</x:t>
  </x:si>
  <x:si>
    <x:t xml:space="preserve">至少 3 类来源页面抽样正确</x:t>
  </x:si>
  <x:si>
    <x:t xml:space="preserve">T-004</x:t>
  </x:si>
  <x:si>
    <x:t xml:space="preserve">图片理解</x:t>
  </x:si>
  <x:si>
    <x:t xml:space="preserve">逐张识别产品、配件、文字、参数、场景、SKU</x:t>
  </x:si>
  <x:si>
    <x:t xml:space="preserve">形成图片事实候选</x:t>
  </x:si>
  <x:si>
    <x:t xml:space="preserve">视觉服务</x:t>
  </x:si>
  <x:si>
    <x:t xml:space="preserve">每张图返回结构化结果与区域证据</x:t>
  </x:si>
  <x:si>
    <x:t xml:space="preserve">T-005</x:t>
  </x:si>
  <x:si>
    <x:t xml:space="preserve">主体与配件</x:t>
  </x:si>
  <x:si>
    <x:t xml:space="preserve">区分主商品、附属配件、广告元素</x:t>
  </x:si>
  <x:si>
    <x:t xml:space="preserve">确保母图与包装信息正确</x:t>
  </x:si>
  <x:si>
    <x:t xml:space="preserve">视觉/抠图</x:t>
  </x:si>
  <x:si>
    <x:t xml:space="preserve">主体完整，广告文字/logo 不作为配件</x:t>
  </x:si>
  <x:si>
    <x:t xml:space="preserve">T-006</x:t>
  </x:si>
  <x:si>
    <x:t xml:space="preserve">SKU归属</x:t>
  </x:si>
  <x:si>
    <x:t xml:space="preserve">图片与 SKU 自动匹配</x:t>
  </x:si>
  <x:si>
    <x:t xml:space="preserve">防止版本、颜色、配件混用</x:t>
  </x:si>
  <x:si>
    <x:t xml:space="preserve">后端+视觉</x:t>
  </x:si>
  <x:si>
    <x:t xml:space="preserve">每张 SKU 图有明确 sku_refs 与置信度</x:t>
  </x:si>
  <x:si>
    <x:t xml:space="preserve">T-007</x:t>
  </x:si>
  <x:si>
    <x:t xml:space="preserve">事实合并</x:t>
  </x:si>
  <x:si>
    <x:t xml:space="preserve">同义归一、去重、单位标准化</x:t>
  </x:si>
  <x:si>
    <x:t xml:space="preserve">生成可读商品档案</x:t>
  </x:si>
  <x:si>
    <x:t xml:space="preserve">同一事实不重复，原始值仍可追溯</x:t>
  </x:si>
  <x:si>
    <x:t xml:space="preserve">T-008</x:t>
  </x:si>
  <x:si>
    <x:t xml:space="preserve">冲突检测</x:t>
  </x:si>
  <x:si>
    <x:t xml:space="preserve">识别网页、图片、SKU 之间的矛盾</x:t>
  </x:si>
  <x:si>
    <x:t xml:space="preserve">阻止错误信息进入生图</x:t>
  </x:si>
  <x:si>
    <x:t xml:space="preserve">冲突列表可查看来源并人工裁决</x:t>
  </x:si>
  <x:si>
    <x:t xml:space="preserve">T-009</x:t>
  </x:si>
  <x:si>
    <x:t xml:space="preserve">人工确认页</x:t>
  </x:si>
  <x:si>
    <x:t xml:space="preserve">审核、修改、拒绝、补充事实</x:t>
  </x:si>
  <x:si>
    <x:t xml:space="preserve">让运营掌控最终事实</x:t>
  </x:si>
  <x:si>
    <x:t xml:space="preserve">前后端</x:t>
  </x:si>
  <x:si>
    <x:t xml:space="preserve">所有关键事实可确认并记录历史</x:t>
  </x:si>
  <x:si>
    <x:t xml:space="preserve">T-010</x:t>
  </x:si>
  <x:si>
    <x:t xml:space="preserve">事实版本快照</x:t>
  </x:si>
  <x:si>
    <x:t xml:space="preserve">生图时保存 Product Brief 版本</x:t>
  </x:si>
  <x:si>
    <x:t xml:space="preserve">保证生成结果可复现</x:t>
  </x:si>
  <x:si>
    <x:t xml:space="preserve">候选图记录 fact_snapshot/version</x:t>
  </x:si>
  <x:si>
    <x:t xml:space="preserve">T-011</x:t>
  </x:si>
  <x:si>
    <x:t xml:space="preserve">图片任务规划</x:t>
  </x:si>
  <x:si>
    <x:t xml:space="preserve">按主图/SKU/详情图生成槽位任务</x:t>
  </x:si>
  <x:si>
    <x:t xml:space="preserve">将事实转成图片职责</x:t>
  </x:si>
  <x:si>
    <x:t xml:space="preserve">规则服务</x:t>
  </x:si>
  <x:si>
    <x:t xml:space="preserve">每槽位含疑问、主张、证据、禁改项</x:t>
  </x:si>
  <x:si>
    <x:t xml:space="preserve">T-012</x:t>
  </x:si>
  <x:si>
    <x:t xml:space="preserve">参考素材绑定</x:t>
  </x:si>
  <x:si>
    <x:t xml:space="preserve">自动绑定母图、SKU图、配件图、结构/参数证据图</x:t>
  </x:si>
  <x:si>
    <x:t xml:space="preserve">为生图提供真实依据</x:t>
  </x:si>
  <x:si>
    <x:t xml:space="preserve">图片服务</x:t>
  </x:si>
  <x:si>
    <x:t xml:space="preserve">无可靠参考图时阻断或明确降级</x:t>
  </x:si>
  <x:si>
    <x:t xml:space="preserve">T-013</x:t>
  </x:si>
  <x:si>
    <x:t xml:space="preserve">Prompt 构建</x:t>
  </x:si>
  <x:si>
    <x:t xml:space="preserve">仅从确认事实生成 Prompt</x:t>
  </x:si>
  <x:si>
    <x:t xml:space="preserve">避免幻觉与 SKU 串用</x:t>
  </x:si>
  <x:si>
    <x:t xml:space="preserve">AI服务</x:t>
  </x:si>
  <x:si>
    <x:t xml:space="preserve">Prompt 中每个参数可回溯事实 ID</x:t>
  </x:si>
  <x:si>
    <x:t xml:space="preserve">T-014</x:t>
  </x:si>
  <x:si>
    <x:t xml:space="preserve">候选图生成</x:t>
  </x:si>
  <x:si>
    <x:t xml:space="preserve">同任务生成多候选并保存完整请求快照</x:t>
  </x:si>
  <x:si>
    <x:t xml:space="preserve">支持比较与返修</x:t>
  </x:si>
  <x:si>
    <x:t xml:space="preserve">P1</x:t>
  </x:si>
  <x:si>
    <x:t xml:space="preserve">生图服务</x:t>
  </x:si>
  <x:si>
    <x:t xml:space="preserve">保存模型、Prompt、参考图、事实版本</x:t>
  </x:si>
  <x:si>
    <x:t xml:space="preserve">T-015</x:t>
  </x:si>
  <x:si>
    <x:t xml:space="preserve">自动视觉 QA</x:t>
  </x:si>
  <x:si>
    <x:t xml:space="preserve">检查结构、部件、SKU、文字、参数、清晰度、水印</x:t>
  </x:si>
  <x:si>
    <x:t xml:space="preserve">阻止错误图进入选用</x:t>
  </x:si>
  <x:si>
    <x:t xml:space="preserve">失败候选不能批准，输出问题区域</x:t>
  </x:si>
  <x:si>
    <x:t xml:space="preserve">T-016</x:t>
  </x:si>
  <x:si>
    <x:t xml:space="preserve">定向返修</x:t>
  </x:si>
  <x:si>
    <x:t xml:space="preserve">根据 QA 问题只修改错误部分</x:t>
  </x:si>
  <x:si>
    <x:t xml:space="preserve">降低反复重做成本</x:t>
  </x:si>
  <x:si>
    <x:t xml:space="preserve">记录 parent_candidate 和返修指令</x:t>
  </x:si>
  <x:si>
    <x:t xml:space="preserve">T-017</x:t>
  </x:si>
  <x:si>
    <x:t xml:space="preserve">人工选图</x:t>
  </x:si>
  <x:si>
    <x:t xml:space="preserve">对候选图评分、选择、拒绝和备注</x:t>
  </x:si>
  <x:si>
    <x:t xml:space="preserve">沉淀可用结果</x:t>
  </x:si>
  <x:si>
    <x:t xml:space="preserve">最终图必须人工选择</x:t>
  </x:si>
  <x:si>
    <x:t xml:space="preserve">T-018</x:t>
  </x:si>
  <x:si>
    <x:t xml:space="preserve">效果反馈</x:t>
  </x:si>
  <x:si>
    <x:t xml:space="preserve">记录点击率、转化率和人工评价</x:t>
  </x:si>
  <x:si>
    <x:t xml:space="preserve">验证图片是否真正促进下单</x:t>
  </x:si>
  <x:si>
    <x:t xml:space="preserve">P2</x:t>
  </x:si>
  <x:si>
    <x:t xml:space="preserve">数据分析</x:t>
  </x:si>
  <x:si>
    <x:t xml:space="preserve">图片版本与运营指标可关联</x:t>
  </x:si>
  <x:si>
    <x:t xml:space="preserve">T-019</x:t>
  </x:si>
  <x:si>
    <x:t xml:space="preserve">样本与测试</x:t>
  </x:si>
  <x:si>
    <x:t xml:space="preserve">建立 10–20 个真实商品端到端样本</x:t>
  </x:si>
  <x:si>
    <x:t xml:space="preserve">验证不同产品类型</x:t>
  </x:si>
  <x:si>
    <x:t xml:space="preserve">项目</x:t>
  </x:si>
  <x:si>
    <x:t xml:space="preserve">事实准确率和图片合格率有统计</x:t>
  </x:si>
  <x:si>
    <x:t xml:space="preserve">T-020</x:t>
  </x:si>
  <x:si>
    <x:t xml:space="preserve">文档维护</x:t>
  </x:si>
  <x:si>
    <x:t xml:space="preserve">每次改动更新本 Excel 和 Markdown 日志</x:t>
  </x:si>
  <x:si>
    <x:t xml:space="preserve">保证可接管与可追溯</x:t>
  </x:si>
  <x:si>
    <x:t xml:space="preserve">全体开发</x:t>
  </x:si>
  <x:si>
    <x:t xml:space="preserve">配置规则已写入 AGENTS/CLAUDE</x:t>
  </x:si>
  <x:si>
    <x:t xml:space="preserve">页面与核心流程</x:t>
  </x:si>
  <x:si>
    <x:t xml:space="preserve">用户必须能看懂：系统从哪里得到事实、哪些是推断、哪些需要自己确认</x:t>
  </x:si>
  <x:si>
    <x:t xml:space="preserve">步骤</x:t>
  </x:si>
  <x:si>
    <x:t xml:space="preserve">页面/环节</x:t>
  </x:si>
  <x:si>
    <x:t xml:space="preserve">输入</x:t>
  </x:si>
  <x:si>
    <x:t xml:space="preserve">系统动作</x:t>
  </x:si>
  <x:si>
    <x:t xml:space="preserve">输出</x:t>
  </x:si>
  <x:si>
    <x:t xml:space="preserve">失败处理</x:t>
  </x:si>
  <x:si>
    <x:t xml:space="preserve">进入采集商品</x:t>
  </x:si>
  <x:si>
    <x:t xml:space="preserve">商品链接、采集图片</x:t>
  </x:si>
  <x:si>
    <x:t xml:space="preserve">加载来源资料与已有母图</x:t>
  </x:si>
  <x:si>
    <x:t xml:space="preserve">商品资料工作台</x:t>
  </x:si>
  <x:si>
    <x:t xml:space="preserve">采集失败可补录/重新抓取</x:t>
  </x:si>
  <x:si>
    <x:t xml:space="preserve">批量图片理解</x:t>
  </x:si>
  <x:si>
    <x:t xml:space="preserve">全部来源图</x:t>
  </x:si>
  <x:si>
    <x:t xml:space="preserve">识别主体、配件、文字、参数、场景和 SKU</x:t>
  </x:si>
  <x:si>
    <x:t xml:space="preserve">逐图分析结果</x:t>
  </x:si>
  <x:si>
    <x:t xml:space="preserve">失败图片可单独重试</x:t>
  </x:si>
  <x:si>
    <x:t xml:space="preserve">网页信息解析</x:t>
  </x:si>
  <x:si>
    <x:t xml:space="preserve">标题、详情、参数、SKU</x:t>
  </x:si>
  <x:si>
    <x:t xml:space="preserve">提取结构化文字事实</x:t>
  </x:si>
  <x:si>
    <x:t xml:space="preserve">文字事实候选</x:t>
  </x:si>
  <x:si>
    <x:t xml:space="preserve">保留原文与位置</x:t>
  </x:si>
  <x:si>
    <x:t xml:space="preserve">图片事实+网页事实</x:t>
  </x:si>
  <x:si>
    <x:t xml:space="preserve">去重、归一、单位标准化</x:t>
  </x:si>
  <x:si>
    <x:t xml:space="preserve">Product Brief 草稿</x:t>
  </x:si>
  <x:si>
    <x:t xml:space="preserve">不覆盖原始证据</x:t>
  </x:si>
  <x:si>
    <x:t xml:space="preserve">冲突与未知检查</x:t>
  </x:si>
  <x:si>
    <x:t xml:space="preserve">所有事实候选</x:t>
  </x:si>
  <x:si>
    <x:t xml:space="preserve">标记冲突、未知、低置信度</x:t>
  </x:si>
  <x:si>
    <x:t xml:space="preserve">待处理清单</x:t>
  </x:si>
  <x:si>
    <x:t xml:space="preserve">P0 冲突阻断下一步</x:t>
  </x:si>
  <x:si>
    <x:t xml:space="preserve">人工确认</x:t>
  </x:si>
  <x:si>
    <x:t xml:space="preserve">事实、证据、冲突</x:t>
  </x:si>
  <x:si>
    <x:t xml:space="preserve">确认/修改/拒绝/补充</x:t>
  </x:si>
  <x:si>
    <x:t xml:space="preserve">已确认 Product Brief</x:t>
  </x:si>
  <x:si>
    <x:t xml:space="preserve">保存操作人和历史</x:t>
  </x:si>
  <x:si>
    <x:t xml:space="preserve">7</x:t>
  </x:si>
  <x:si>
    <x:t xml:space="preserve">产品/SKU/配件母图确认</x:t>
  </x:si>
  <x:si>
    <x:t xml:space="preserve">抠图结果</x:t>
  </x:si>
  <x:si>
    <x:t xml:space="preserve">选择主母图、SKU母图、配件母图</x:t>
  </x:si>
  <x:si>
    <x:t xml:space="preserve">可复用参考素材</x:t>
  </x:si>
  <x:si>
    <x:t xml:space="preserve">不完整母图不得通过</x:t>
  </x:si>
  <x:si>
    <x:t xml:space="preserve">8</x:t>
  </x:si>
  <x:si>
    <x:t xml:space="preserve">图片方案生成</x:t>
  </x:si>
  <x:si>
    <x:t xml:space="preserve">确认事实+买家疑问</x:t>
  </x:si>
  <x:si>
    <x:t xml:space="preserve">生成主图/SKU/详情槽位任务</x:t>
  </x:si>
  <x:si>
    <x:t xml:space="preserve">图片任务清单</x:t>
  </x:si>
  <x:si>
    <x:t xml:space="preserve">允许人工调整槽位</x:t>
  </x:si>
  <x:si>
    <x:t xml:space="preserve">9</x:t>
  </x:si>
  <x:si>
    <x:t xml:space="preserve">母图和证据图</x:t>
  </x:si>
  <x:si>
    <x:t xml:space="preserve">为每个槽位绑定参考图与允许事实</x:t>
  </x:si>
  <x:si>
    <x:t xml:space="preserve">可执行生成任务</x:t>
  </x:si>
  <x:si>
    <x:t xml:space="preserve">无可靠参考时阻断/降级</x:t>
  </x:si>
  <x:si>
    <x:t xml:space="preserve">10</x:t>
  </x:si>
  <x:si>
    <x:t xml:space="preserve">任务、Prompt、参考图</x:t>
  </x:si>
  <x:si>
    <x:t xml:space="preserve">调用模型并保存快照</x:t>
  </x:si>
  <x:si>
    <x:t xml:space="preserve">多张候选图</x:t>
  </x:si>
  <x:si>
    <x:t xml:space="preserve">外部失败可重试</x:t>
  </x:si>
  <x:si>
    <x:t xml:space="preserve">11</x:t>
  </x:si>
  <x:si>
    <x:t xml:space="preserve">自动 QA</x:t>
  </x:si>
  <x:si>
    <x:t xml:space="preserve">候选图+真实参考</x:t>
  </x:si>
  <x:si>
    <x:t xml:space="preserve">检测结构/文字/参数/SKU/水印</x:t>
  </x:si>
  <x:si>
    <x:t xml:space="preserve">QA 状态与问题区域</x:t>
  </x:si>
  <x:si>
    <x:t xml:space="preserve">失败不得选用</x:t>
  </x:si>
  <x:si>
    <x:t xml:space="preserve">12</x:t>
  </x:si>
  <x:si>
    <x:t xml:space="preserve">人工选图与返修</x:t>
  </x:si>
  <x:si>
    <x:t xml:space="preserve">候选图、QA</x:t>
  </x:si>
  <x:si>
    <x:t xml:space="preserve">选用/拒绝/定向返修</x:t>
  </x:si>
  <x:si>
    <x:t xml:space="preserve">最终图片组</x:t>
  </x:si>
  <x:si>
    <x:t xml:space="preserve">保留版本链</x:t>
  </x:si>
  <x:si>
    <x:t xml:space="preserve">13</x:t>
  </x:si>
  <x:si>
    <x:t xml:space="preserve">发布与效果反馈</x:t>
  </x:si>
  <x:si>
    <x:t xml:space="preserve">最终图、平台数据</x:t>
  </x:si>
  <x:si>
    <x:t xml:space="preserve">发布后关联点击/转化和反馈</x:t>
  </x:si>
  <x:si>
    <x:t xml:space="preserve">效果记录</x:t>
  </x:si>
  <x:si>
    <x:t xml:space="preserve">用于优化规则而非自动篡改事实</x:t>
  </x:si>
  <x:si>
    <x:t xml:space="preserve">分阶段验收标准</x:t>
  </x:si>
  <x:si>
    <x:t xml:space="preserve">只有真实样本通过，任务状态才能从“待验证”改为“已完成”</x:t>
  </x:si>
  <x:si>
    <x:t xml:space="preserve">阶段</x:t>
  </x:si>
  <x:si>
    <x:t xml:space="preserve">验收项</x:t>
  </x:si>
  <x:si>
    <x:t xml:space="preserve">预期结果</x:t>
  </x:si>
  <x:si>
    <x:t xml:space="preserve">具体标准</x:t>
  </x:si>
  <x:si>
    <x:t xml:space="preserve">测试样本</x:t>
  </x:si>
  <x:si>
    <x:t xml:space="preserve">备注</x:t>
  </x:si>
  <x:si>
    <x:t xml:space="preserve">P0-A</x:t>
  </x:si>
  <x:si>
    <x:t xml:space="preserve">商品事实档案</x:t>
  </x:si>
  <x:si>
    <x:t xml:space="preserve">任意采集商品能生成结构化 Product Brief</x:t>
  </x:si>
  <x:si>
    <x:t xml:space="preserve">字段包含身份、结构、SKU、参数、卖点、场景、未知、冲突、证据</x:t>
  </x:si>
  <x:si>
    <x:t xml:space="preserve">10 个真实商品</x:t>
  </x:si>
  <x:si>
    <x:t xml:space="preserve">不能出现无来源的已确认事实</x:t>
  </x:si>
  <x:si>
    <x:t xml:space="preserve">证据链</x:t>
  </x:si>
  <x:si>
    <x:t xml:space="preserve">每条关键事实可查看来源</x:t>
  </x:si>
  <x:si>
    <x:t xml:space="preserve">能定位网页片段或图片及区域；记录置信度和确认人</x:t>
  </x:si>
  <x:si>
    <x:t xml:space="preserve">关键事实 100%</x:t>
  </x:si>
  <x:si>
    <x:t xml:space="preserve">ProductFactEvidence 必须有真实数据</x:t>
  </x:si>
  <x:si>
    <x:t xml:space="preserve">SKU正确性</x:t>
  </x:si>
  <x:si>
    <x:t xml:space="preserve">不同 SKU 信息不混用</x:t>
  </x:si>
  <x:si>
    <x:t xml:space="preserve">颜色、型号、版本、包装内容、图片引用正确</x:t>
  </x:si>
  <x:si>
    <x:t xml:space="preserve">至少 3 个多 SKU 商品</x:t>
  </x:si>
  <x:si>
    <x:t xml:space="preserve">无证据时标未知</x:t>
  </x:si>
  <x:si>
    <x:t xml:space="preserve">冲突处理</x:t>
  </x:si>
  <x:si>
    <x:t xml:space="preserve">矛盾信息被系统识别并阻断</x:t>
  </x:si>
  <x:si>
    <x:t xml:space="preserve">可选择正确值、保留其他值和来源</x:t>
  </x:si>
  <x:si>
    <x:t xml:space="preserve">构造 10 组冲突</x:t>
  </x:si>
  <x:si>
    <x:t xml:space="preserve">未解决不得生成相关图</x:t>
  </x:si>
  <x:si>
    <x:t xml:space="preserve">运营可编辑、拒绝、补充事实</x:t>
  </x:si>
  <x:si>
    <x:t xml:space="preserve">所有操作有用户、时间和历史</x:t>
  </x:si>
  <x:si>
    <x:t xml:space="preserve">完整操作回归</x:t>
  </x:si>
  <x:si>
    <x:t xml:space="preserve">服务端权限校验</x:t>
  </x:si>
  <x:si>
    <x:t xml:space="preserve">P0-B</x:t>
  </x:si>
  <x:si>
    <x:t xml:space="preserve">自动生成主图/SKU/详情任务</x:t>
  </x:si>
  <x:si>
    <x:t xml:space="preserve">每任务含角色、买家疑问、主张、证据、禁改项</x:t>
  </x:si>
  <x:si>
    <x:t xml:space="preserve">10 个商品</x:t>
  </x:si>
  <x:si>
    <x:t xml:space="preserve">任务可人工修改</x:t>
  </x:si>
  <x:si>
    <x:t xml:space="preserve">参考图绑定</x:t>
  </x:si>
  <x:si>
    <x:t xml:space="preserve">每任务绑定正确产品/SKU/配件/参数图</x:t>
  </x:si>
  <x:si>
    <x:t xml:space="preserve">无可靠参考图时系统阻断或警告</x:t>
  </x:si>
  <x:si>
    <x:t xml:space="preserve">覆盖无白底图情况</x:t>
  </x:si>
  <x:si>
    <x:t xml:space="preserve">package 槽位不能误用主图</x:t>
  </x:si>
  <x:si>
    <x:t xml:space="preserve">Prompt事实约束</x:t>
  </x:si>
  <x:si>
    <x:t xml:space="preserve">Prompt 只包含确认事实</x:t>
  </x:si>
  <x:si>
    <x:t xml:space="preserve">随机抽查参数均可追溯 fact_id</x:t>
  </x:si>
  <x:si>
    <x:t xml:space="preserve">20 个任务</x:t>
  </x:si>
  <x:si>
    <x:t xml:space="preserve">不得自动补未知参数</x:t>
  </x:si>
  <x:si>
    <x:t xml:space="preserve">候选图快照</x:t>
  </x:si>
  <x:si>
    <x:t xml:space="preserve">每张候选图可复现</x:t>
  </x:si>
  <x:si>
    <x:t xml:space="preserve">保存模型、Prompt、参数、参考图和事实版本</x:t>
  </x:si>
  <x:si>
    <x:t xml:space="preserve">全部候选</x:t>
  </x:si>
  <x:si>
    <x:t xml:space="preserve">失败请求也保存脱敏信息</x:t>
  </x:si>
  <x:si>
    <x:t xml:space="preserve">自动视觉QA</x:t>
  </x:si>
  <x:si>
    <x:t xml:space="preserve">识别结构、部件、SKU、文字和水印错误</x:t>
  </x:si>
  <x:si>
    <x:t xml:space="preserve">输出分数、问题描述、区域；失败图不可批准</x:t>
  </x:si>
  <x:si>
    <x:t xml:space="preserve">至少 100 张候选</x:t>
  </x:si>
  <x:si>
    <x:t xml:space="preserve">人工可复核/纠错</x:t>
  </x:si>
  <x:si>
    <x:t xml:space="preserve">返修链</x:t>
  </x:si>
  <x:si>
    <x:t xml:space="preserve">定向返修保留父子版本</x:t>
  </x:si>
  <x:si>
    <x:t xml:space="preserve">能查看修改原因和结果差异</x:t>
  </x:si>
  <x:si>
    <x:t xml:space="preserve">10 次返修</x:t>
  </x:si>
  <x:si>
    <x:t xml:space="preserve">不能覆盖原图</x:t>
  </x:si>
  <x:si>
    <x:t xml:space="preserve">E2E</x:t>
  </x:si>
  <x:si>
    <x:t xml:space="preserve">端到端闭环</x:t>
  </x:si>
  <x:si>
    <x:t xml:space="preserve">采集→事实→母图→规划→生成→QA→选图</x:t>
  </x:si>
  <x:si>
    <x:t xml:space="preserve">10–20 个真实商品完整通过</x:t>
  </x:si>
  <x:si>
    <x:t xml:space="preserve">真实商品集</x:t>
  </x:si>
  <x:si>
    <x:t xml:space="preserve">统计成功率和人工耗时</x:t>
  </x:si>
  <x:si>
    <x:t xml:space="preserve">风险与关键决策</x:t>
  </x:si>
  <x:si>
    <x:t xml:space="preserve">把不能交给模型自行判断的事项提前写成系统规则</x:t>
  </x:si>
  <x:si>
    <x:t xml:space="preserve">领域</x:t>
  </x:si>
  <x:si>
    <x:t xml:space="preserve">风险/决策点</x:t>
  </x:si>
  <x:si>
    <x:t xml:space="preserve">影响</x:t>
  </x:si>
  <x:si>
    <x:t xml:space="preserve">处理原则</x:t>
  </x:si>
  <x:si>
    <x:t xml:space="preserve">实施备注</x:t>
  </x:si>
  <x:si>
    <x:t xml:space="preserve">D-001</x:t>
  </x:si>
  <x:si>
    <x:t xml:space="preserve">商品事实</x:t>
  </x:si>
  <x:si>
    <x:t xml:space="preserve">AI 推断被当成事实</x:t>
  </x:si>
  <x:si>
    <x:t xml:space="preserve">生成错误参数和卖点</x:t>
  </x:si>
  <x:si>
    <x:t xml:space="preserve">事实状态分层；只有 verified/confirmed 可使用</x:t>
  </x:si>
  <x:si>
    <x:t xml:space="preserve">已决定</x:t>
  </x:si>
  <x:si>
    <x:t xml:space="preserve">进入数据模型和 Prompt 门禁</x:t>
  </x:si>
  <x:si>
    <x:t xml:space="preserve">D-002</x:t>
  </x:si>
  <x:si>
    <x:t xml:space="preserve">SKU</x:t>
  </x:si>
  <x:si>
    <x:t xml:space="preserve">不同 SKU 图片/参数混用</x:t>
  </x:si>
  <x:si>
    <x:t xml:space="preserve">误导买家与售后风险</x:t>
  </x:si>
  <x:si>
    <x:t xml:space="preserve">每条事实和参考图绑定 applicable_sku</x:t>
  </x:si>
  <x:si>
    <x:t xml:space="preserve">无归属则待确认</x:t>
  </x:si>
  <x:si>
    <x:t xml:space="preserve">D-003</x:t>
  </x:si>
  <x:si>
    <x:t xml:space="preserve">参考图</x:t>
  </x:si>
  <x:si>
    <x:t xml:space="preserve">没有白底图或产品图含广告</x:t>
  </x:si>
  <x:si>
    <x:t xml:space="preserve">无法可靠生图</x:t>
  </x:si>
  <x:si>
    <x:t xml:space="preserve">先抠取产品/配件母图；不完整结果不得使用</x:t>
  </x:si>
  <x:si>
    <x:t xml:space="preserve">现有抠图继续迭代</x:t>
  </x:si>
  <x:si>
    <x:t xml:space="preserve">D-004</x:t>
  </x:si>
  <x:si>
    <x:t xml:space="preserve">视觉检测</x:t>
  </x:si>
  <x:si>
    <x:t xml:space="preserve">bbox 不精确</x:t>
  </x:si>
  <x:si>
    <x:t xml:space="preserve">裁掉产品结构</x:t>
  </x:si>
  <x:si>
    <x:t xml:space="preserve">bbox 只作种子，mask 决定真实边界</x:t>
  </x:si>
  <x:si>
    <x:t xml:space="preserve">V3.2 原则</x:t>
  </x:si>
  <x:si>
    <x:t xml:space="preserve">D-005</x:t>
  </x:si>
  <x:si>
    <x:t xml:space="preserve">生图结构</x:t>
  </x:si>
  <x:si>
    <x:t xml:space="preserve">模型改变按钮、部件、比例</x:t>
  </x:si>
  <x:si>
    <x:t xml:space="preserve">商品失真</x:t>
  </x:si>
  <x:si>
    <x:t xml:space="preserve">不可变结构+参考图+自动 QA+人工审核</x:t>
  </x:si>
  <x:si>
    <x:t xml:space="preserve">Prompt 单独不足</x:t>
  </x:si>
  <x:si>
    <x:t xml:space="preserve">D-006</x:t>
  </x:si>
  <x:si>
    <x:t xml:space="preserve">文字参数</x:t>
  </x:si>
  <x:si>
    <x:t xml:space="preserve">图片出现乱码或无证据参数</x:t>
  </x:si>
  <x:si>
    <x:t xml:space="preserve">降低信任/违规</x:t>
  </x:si>
  <x:si>
    <x:t xml:space="preserve">文字层与生成背景分离优先；参数必须有证据</x:t>
  </x:si>
  <x:si>
    <x:t xml:space="preserve">待实施</x:t>
  </x:si>
  <x:si>
    <x:t xml:space="preserve">可考虑后期排版</x:t>
  </x:si>
  <x:si>
    <x:t xml:space="preserve">D-007</x:t>
  </x:si>
  <x:si>
    <x:t xml:space="preserve">自动化</x:t>
  </x:si>
  <x:si>
    <x:t xml:space="preserve">系统自动生成并批准</x:t>
  </x:si>
  <x:si>
    <x:t xml:space="preserve">错误结果直接流入发布</x:t>
  </x:si>
  <x:si>
    <x:t xml:space="preserve">AI 只能建议，最终图必须人工选择</x:t>
  </x:si>
  <x:si>
    <x:t xml:space="preserve">服务端门禁</x:t>
  </x:si>
  <x:si>
    <x:t xml:space="preserve">D-008</x:t>
  </x:si>
  <x:si>
    <x:t xml:space="preserve">成本</x:t>
  </x:si>
  <x:si>
    <x:t xml:space="preserve">逐图视觉理解和多候选生成费用高</x:t>
  </x:si>
  <x:si>
    <x:t xml:space="preserve">处理成本不可控</x:t>
  </x:si>
  <x:si>
    <x:t xml:space="preserve">缓存事实、按图片哈希复用、分层模型、记录费用</x:t>
  </x:si>
  <x:si>
    <x:t xml:space="preserve">先测单商品成本</x:t>
  </x:si>
  <x:si>
    <x:t xml:space="preserve">D-009</x:t>
  </x:si>
  <x:si>
    <x:t xml:space="preserve">可复现</x:t>
  </x:si>
  <x:si>
    <x:t xml:space="preserve">规则/模型变化后无法解释历史结果</x:t>
  </x:si>
  <x:si>
    <x:t xml:space="preserve">难以返修和审计</x:t>
  </x:si>
  <x:si>
    <x:t xml:space="preserve">保存事实、Prompt、参考图、模型配置快照</x:t>
  </x:si>
  <x:si>
    <x:t xml:space="preserve">候选图级快照</x:t>
  </x:si>
  <x:si>
    <x:t xml:space="preserve">D-010</x:t>
  </x:si>
  <x:si>
    <x:t xml:space="preserve">效果目标</x:t>
  </x:si>
  <x:si>
    <x:t xml:space="preserve">只看美观不看转化</x:t>
  </x:si>
  <x:si>
    <x:t xml:space="preserve">无法验证业务价值</x:t>
  </x:si>
  <x:si>
    <x:t xml:space="preserve">后续关联点击率/转化率和人工评分</x:t>
  </x:si>
  <x:si>
    <x:t xml:space="preserve">规划中</x:t>
  </x:si>
  <x:si>
    <x:t xml:space="preserve">P2 数据闭环</x:t>
  </x:si>
  <x:si>
    <x:t xml:space="preserve">D-011</x:t>
  </x:si>
  <x:si>
    <x:t xml:space="preserve">文档漂移</x:t>
  </x:si>
  <x:si>
    <x:t xml:space="preserve">代码修改但开发文档不更新</x:t>
  </x:si>
  <x:si>
    <x:t xml:space="preserve">项目再次失控</x:t>
  </x:si>
  <x:si>
    <x:t xml:space="preserve">每次 AI 生图改动必须更新本 Excel 与 Markdown 日志</x:t>
  </x:si>
  <x:si>
    <x:t xml:space="preserve">已写入 AGENTS/CLAUDE</x:t>
  </x:si>
  <x:si>
    <x:t xml:space="preserve">持续开发日志</x:t>
  </x:si>
  <x:si>
    <x:t xml:space="preserve">本工作表为 AI 生图功能的主变更记录；以后每次改动必须追加一行，不得删除历史记录</x:t>
  </x:si>
  <x:si>
    <x:t xml:space="preserve">日期</x:t>
  </x:si>
  <x:si>
    <x:t xml:space="preserve">变更编号</x:t>
  </x:si>
  <x:si>
    <x:t xml:space="preserve">类型</x:t>
  </x:si>
  <x:si>
    <x:t xml:space="preserve">需求/问题</x:t>
  </x:si>
  <x:si>
    <x:t xml:space="preserve">改动内容</x:t>
  </x:si>
  <x:si>
    <x:t xml:space="preserve">影响文件/模块</x:t>
  </x:si>
  <x:si>
    <x:t xml:space="preserve">测试与证据</x:t>
  </x:si>
  <x:si>
    <x:t xml:space="preserve">执行者</x:t>
  </x:si>
  <x:si>
    <x:t xml:space="preserve">DOC-001</x:t>
  </x:si>
  <x:si>
    <x:t xml:space="preserve">需求基线</x:t>
  </x:si>
  <x:si>
    <x:t xml:space="preserve">明确 AI 生图业务目标与下一阶段优先级</x:t>
  </x:si>
  <x:si>
    <x:t xml:space="preserve">建立商品多模态理解、Product Brief、证据链、人工确认、图片规划与 QA 的开发方案</x:t>
  </x:si>
  <x:si>
    <x:t xml:space="preserve">AGENTS.md; CLAUDE.md; 本Excel</x:t>
  </x:si>
  <x:si>
    <x:t xml:space="preserve">未执行代码测试</x:t>
  </x:si>
  <x:si>
    <x:t xml:space="preserve">Codex</x:t>
  </x:si>
  <x:si>
    <x:t xml:space="preserve">首次建立主开发文档</x:t>
  </x:si>
  <x:si>
    <x:t xml:space="preserve">必填项</x:t>
  </x:si>
  <x:si>
    <x:t xml:space="preserve">日期、变更编号、类型、需求/问题、改动内容、影响文件/模块、测试与证据、状态、执行者</x:t>
  </x:si>
  <x:si>
    <x:t xml:space="preserve">状态规则</x:t>
  </x:si>
  <x:si>
    <x:t xml:space="preserve">代码写完但未验证=待验证；真实样本通过=已完成；发现回归=有缺陷</x:t>
  </x:si>
  <x:si>
    <x:t xml:space="preserve">同步规则</x:t>
  </x:si>
  <x:si>
    <x:t xml:space="preserve">同一次改动还必须创建/更新 项目改动日志 下的 Markdown 日志</x:t>
  </x:si>
  <x:si>
    <x:t xml:space="preserve">代码 + 测试证据 + Markdown 日志 + 本 Excel 更新，四项齐全才算完成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</x:si>
</x:sst>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</x:numFmts>
  <x:fonts count="29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64748B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2"/>
      <x:color rgb="FFFFFFFF"/>
      <x:name val="Microsoft YaHei"/>
    </x:font>
    <x:font>
      <x:b/>
      <x:sz val="11"/>
      <x:color rgb="FF172033"/>
      <x:name val="Microsoft YaHei"/>
    </x:font>
    <x:font>
      <x:sz val="11"/>
      <x:color rgb="FF172033"/>
      <x:name val="Microsoft YaHei"/>
    </x:font>
    <x:font>
      <x:b/>
      <x:sz val="11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FFEDD5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C2626"/>
      </x:patternFill>
    </x:fill>
    <x:fill>
      <x:patternFill patternType="solid">
        <x:fgColor rgb="FF2563EB"/>
      </x:patternFill>
    </x:fill>
    <x:fill>
      <x:patternFill patternType="solid">
        <x:fgColor rgb="FFD9770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</x:fills>
  <x:borders count="13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9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14" borderId="5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15" borderId="8" applyNumberFormat="0" applyAlignment="0" applyProtection="0">
      <x:alignment vertical="center"/>
    </x:xf>
    <x:xf numFmtId="0" fontId="19" fillId="16" borderId="9" applyNumberFormat="0" applyAlignment="0" applyProtection="0">
      <x:alignment vertical="center"/>
    </x:xf>
    <x:xf numFmtId="0" fontId="20" fillId="16" borderId="8" applyNumberFormat="0" applyAlignment="0" applyProtection="0">
      <x:alignment vertical="center"/>
    </x:xf>
    <x:xf numFmtId="0" fontId="21" fillId="17" borderId="10" applyNumberFormat="0" applyAlignment="0" applyProtection="0">
      <x:alignment vertical="center"/>
    </x:xf>
    <x:xf numFmtId="0" fontId="22" fillId="0" borderId="11" applyNumberFormat="0" applyFill="0" applyAlignment="0" applyProtection="0">
      <x:alignment vertical="center"/>
    </x:xf>
    <x:xf numFmtId="0" fontId="23" fillId="0" borderId="12" applyNumberFormat="0" applyFill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8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7" fillId="37" borderId="0" applyNumberFormat="0" applyBorder="0" applyAlignment="0" applyProtection="0">
      <x:alignment vertical="center"/>
    </x:xf>
    <x:xf numFmtId="0" fontId="28" fillId="38" borderId="0" applyNumberFormat="0" applyBorder="0" applyAlignment="0" applyProtection="0">
      <x:alignment vertical="center"/>
    </x:xf>
    <x:xf numFmtId="0" fontId="28" fillId="39" borderId="0" applyNumberFormat="0" applyBorder="0" applyAlignment="0" applyProtection="0">
      <x:alignment vertical="center"/>
    </x:xf>
    <x:xf numFmtId="0" fontId="27" fillId="40" borderId="0" applyNumberFormat="0" applyBorder="0" applyAlignment="0" applyProtection="0">
      <x:alignment vertical="center"/>
    </x:xf>
    <x:xf numFmtId="0" fontId="27" fillId="41" borderId="0" applyNumberFormat="0" applyBorder="0" applyAlignment="0" applyProtection="0">
      <x:alignment vertical="center"/>
    </x:xf>
    <x:xf numFmtId="0" fontId="28" fillId="42" borderId="0" applyNumberFormat="0" applyBorder="0" applyAlignment="0" applyProtection="0">
      <x:alignment vertical="center"/>
    </x:xf>
    <x:xf numFmtId="0" fontId="28" fillId="43" borderId="0" applyNumberFormat="0" applyBorder="0" applyAlignment="0" applyProtection="0">
      <x:alignment vertical="center"/>
    </x:xf>
    <x:xf numFmtId="0" fontId="27" fillId="44" borderId="0" applyNumberFormat="0" applyBorder="0" applyAlignment="0" applyProtection="0">
      <x:alignment vertical="center"/>
    </x:xf>
    <x:xf numFmtId="0" fontId="0" fillId="0" borderId="0"/>
  </x:cellStyleXfs>
  <x:cellXfs count="45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3" borderId="0" xfId="49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/>
    <x:xf numFmtId="0" fontId="4" fillId="2" borderId="1" xfId="49" applyNumberFormat="1" applyFont="1" applyFill="1" applyBorder="1" applyAlignment="1">
      <x:alignment vertical="top" wrapText="1"/>
    </x:xf>
    <x:xf numFmtId="176" fontId="3" fillId="0" borderId="2" xfId="49" applyNumberFormat="1" applyFont="1" applyFill="1" applyBorder="1" applyAlignment="1">
      <x:alignment vertical="top" wrapText="1"/>
    </x:xf>
    <x:xf numFmtId="0" fontId="3" fillId="0" borderId="2" xfId="49" applyNumberFormat="1" applyFont="1" applyFill="1" applyBorder="1" applyAlignment="1">
      <x:alignment vertical="top" wrapText="1"/>
    </x:xf>
    <x:xf numFmtId="176" fontId="3" fillId="0" borderId="3" xfId="49" applyNumberFormat="1" applyFont="1" applyFill="1" applyBorder="1" applyAlignment="1">
      <x:alignment vertical="top" wrapText="1"/>
    </x:xf>
    <x:xf numFmtId="0" fontId="3" fillId="0" borderId="3" xfId="49" applyNumberFormat="1" applyFont="1" applyFill="1" applyBorder="1" applyAlignment="1">
      <x:alignment vertical="top" wrapText="1"/>
    </x:xf>
    <x:xf numFmtId="0" fontId="5" fillId="4" borderId="0" xfId="49" applyNumberFormat="1" applyFont="1" applyFill="1" applyBorder="1"/>
    <x:xf numFmtId="0" fontId="6" fillId="5" borderId="4" xfId="49" applyNumberFormat="1" applyFont="1" applyFill="1" applyBorder="1" applyAlignment="1">
      <x:alignment wrapText="1"/>
    </x:xf>
    <x:xf numFmtId="0" fontId="3" fillId="0" borderId="4" xfId="49" applyNumberFormat="1" applyFont="1" applyFill="1" applyBorder="1" applyAlignment="1">
      <x:alignment wrapText="1"/>
    </x:xf>
    <x:xf numFmtId="0" fontId="3" fillId="6" borderId="2" xfId="49" applyNumberFormat="1" applyFont="1" applyFill="1" applyBorder="1" applyAlignment="1">
      <x:alignment vertical="top" wrapText="1"/>
    </x:xf>
    <x:xf numFmtId="0" fontId="3" fillId="7" borderId="2" xfId="49" applyNumberFormat="1" applyFont="1" applyFill="1" applyBorder="1" applyAlignment="1">
      <x:alignment vertical="top" wrapText="1"/>
    </x:xf>
    <x:xf numFmtId="0" fontId="3" fillId="6" borderId="3" xfId="49" applyNumberFormat="1" applyFont="1" applyFill="1" applyBorder="1" applyAlignment="1">
      <x:alignment vertical="top" wrapText="1"/>
    </x:xf>
    <x:xf numFmtId="0" fontId="3" fillId="8" borderId="2" xfId="49" applyNumberFormat="1" applyFont="1" applyFill="1" applyBorder="1" applyAlignment="1">
      <x:alignment vertical="top" wrapText="1"/>
    </x:xf>
    <x:xf numFmtId="0" fontId="3" fillId="9" borderId="2" xfId="49" applyNumberFormat="1" applyFont="1" applyFill="1" applyBorder="1" applyAlignment="1">
      <x:alignment vertical="top" wrapText="1"/>
    </x:xf>
    <x:xf numFmtId="0" fontId="3" fillId="8" borderId="3" xfId="49" applyNumberFormat="1" applyFont="1" applyFill="1" applyBorder="1" applyAlignment="1">
      <x:alignment vertical="top" wrapText="1"/>
    </x:xf>
    <x:xf numFmtId="0" fontId="3" fillId="5" borderId="2" xfId="49" applyNumberFormat="1" applyFont="1" applyFill="1" applyBorder="1" applyAlignment="1">
      <x:alignment vertical="top" wrapText="1"/>
    </x:xf>
    <x:xf numFmtId="0" fontId="3" fillId="10" borderId="3" xfId="49" applyNumberFormat="1" applyFont="1" applyFill="1" applyBorder="1" applyAlignment="1">
      <x:alignment vertical="top" wrapText="1"/>
    </x:xf>
    <x:xf numFmtId="0" fontId="4" fillId="4" borderId="0" xfId="49" applyNumberFormat="1" applyFont="1" applyFill="1" applyBorder="1"/>
    <x:xf numFmtId="0" fontId="4" fillId="11" borderId="0" xfId="49" applyNumberFormat="1" applyFont="1" applyFill="1" applyBorder="1"/>
    <x:xf numFmtId="0" fontId="4" fillId="12" borderId="0" xfId="49" applyNumberFormat="1" applyFont="1" applyFill="1" applyBorder="1"/>
    <x:xf numFmtId="0" fontId="4" fillId="13" borderId="0" xfId="49" applyNumberFormat="1" applyFont="1" applyFill="1" applyBorder="1"/>
    <x:xf numFmtId="0" fontId="7" fillId="10" borderId="0" xfId="49" applyNumberFormat="1" applyFont="1" applyFill="1" applyBorder="1" applyAlignment="1">
      <x:alignment vertical="center" wrapText="1"/>
    </x:xf>
    <x:xf numFmtId="0" fontId="7" fillId="6" borderId="0" xfId="49" applyNumberFormat="1" applyFont="1" applyFill="1" applyBorder="1" applyAlignment="1">
      <x:alignment vertical="center" wrapText="1"/>
    </x:xf>
    <x:xf numFmtId="0" fontId="7" fillId="5" borderId="0" xfId="49" applyNumberFormat="1" applyFont="1" applyFill="1" applyBorder="1" applyAlignment="1">
      <x:alignment vertical="center" wrapText="1"/>
    </x:xf>
    <x:xf numFmtId="0" fontId="7" fillId="9" borderId="0" xfId="49" applyNumberFormat="1" applyFont="1" applyFill="1" applyBorder="1" applyAlignment="1">
      <x:alignment vertical="center" wrapText="1"/>
    </x:xf>
    <x:xf numFmtId="0" fontId="4" fillId="2" borderId="4" xfId="49" applyNumberFormat="1" applyFont="1" applyFill="1" applyBorder="1"/>
    <x:xf numFmtId="0" fontId="4" fillId="2" borderId="4" xfId="49" applyNumberFormat="1" applyFont="1" applyFill="1" applyBorder="1" applyAlignment="1">
      <x:alignment wrapText="1"/>
    </x:xf>
    <x:xf numFmtId="0" fontId="3" fillId="0" borderId="4" xfId="49" applyNumberFormat="1" applyFont="1" applyFill="1" applyBorder="1"/>
    <x:xf numFmtId="0" fontId="8" fillId="5" borderId="4" xfId="49" applyNumberFormat="1" applyFont="1" applyFill="1" applyBorder="1" applyAlignment="1">
      <x:alignment wrapText="1"/>
    </x:xf>
    <x:xf numFmtId="200" fontId="3" fillId="0" borderId="3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/>
    <x:xf numFmtId="200" fontId="5" fillId="4" borderId="0" xfId="0" applyNumberFormat="1" applyFont="1" applyFill="1" applyBorder="1"/>
    <x:xf numFmtId="0" fontId="0" fillId="45" borderId="0" xfId="0" applyNumberFormat="1" applyFont="1" applyFill="1" applyBorder="1"/>
    <x:xf numFmtId="0" fontId="4" fillId="45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4" xfId="0" applyNumberFormat="1" applyFont="1" applyFill="1" applyBorder="1"/>
    <x:xf numFmtId="0" fontId="3" fillId="0" borderId="4" xfId="0" applyNumberFormat="1" applyFont="1" applyFill="1" applyBorder="1"/>
    <x:xf numFmtId="200" fontId="3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200" fontId="3" fillId="0" borderId="4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429c699f843a1" /><Relationship Type="http://schemas.openxmlformats.org/officeDocument/2006/relationships/theme" Target="/xl/theme/theme1.xml" Id="R18d54ab803964c76" /><Relationship Type="http://schemas.openxmlformats.org/officeDocument/2006/relationships/sharedStrings" Target="/xl/sharedStrings.xml" Id="R9d009d3c477a4d4e" /><Relationship Type="http://schemas.openxmlformats.org/officeDocument/2006/relationships/worksheet" Target="/xl/worksheets/sheet1.xml" Id="R1e3ffef9d0e64d6f" /><Relationship Type="http://schemas.openxmlformats.org/officeDocument/2006/relationships/worksheet" Target="/xl/worksheets/sheet2.xml" Id="Rc87b1b7f4aa04ae0" /><Relationship Type="http://schemas.openxmlformats.org/officeDocument/2006/relationships/worksheet" Target="/xl/worksheets/sheet3.xml" Id="Rf92929b02bb84e1d" /><Relationship Type="http://schemas.openxmlformats.org/officeDocument/2006/relationships/worksheet" Target="/xl/worksheets/sheet4.xml" Id="R251e1063c9d24c09" /><Relationship Type="http://schemas.openxmlformats.org/officeDocument/2006/relationships/worksheet" Target="/xl/worksheets/sheet5.xml" Id="Raf749fe2784348c2" /><Relationship Type="http://schemas.openxmlformats.org/officeDocument/2006/relationships/worksheet" Target="/xl/worksheets/sheet6.xml" Id="Rd75642a02a204da1" /><Relationship Type="http://schemas.openxmlformats.org/officeDocument/2006/relationships/worksheet" Target="/xl/worksheets/sheet7.xml" Id="Rf1dfc48c94f341f8" /><Relationship Type="http://schemas.openxmlformats.org/officeDocument/2006/relationships/worksheet" Target="/xl/worksheets/sheet8.xml" Id="R18beae7397bf4ba5" /></Relationships>
</file>

<file path=xl/tables/table1.xml><?xml version="1.0" encoding="utf-8"?>
<x:table xmlns:x="http://schemas.openxmlformats.org/spreadsheetml/2006/main" id="1" name="GoalScope" displayName="GoalScope" ref="A4:C16">
  <x:tableColumns count="3">
    <x:tableColumn id="1" name="主题"/>
    <x:tableColumn id="2" name="明确要求"/>
    <x:tableColumn id="3" name="级别"/>
  </x:tableColumns>
  <x:tableStyleInfo name="TableStyleMedium2" showRowStripes="1"/>
</x:table>
</file>

<file path=xl/tables/table2.xml><?xml version="1.0" encoding="utf-8"?>
<x:table xmlns:x="http://schemas.openxmlformats.org/spreadsheetml/2006/main" id="2" name="FactModel" displayName="FactModel" ref="A4:F17">
  <x:tableColumns count="6">
    <x:tableColumn id="1" name="对象"/>
    <x:tableColumn id="2" name="中文含义"/>
    <x:tableColumn id="3" name="建议字段"/>
    <x:tableColumn id="4" name="来源"/>
    <x:tableColumn id="5" name="关键规则"/>
    <x:tableColumn id="6" name="主要消费者"/>
  </x:tableColumns>
  <x:tableStyleInfo name="TableStyleMedium2" showRowStripes="1"/>
</x:table>
</file>

<file path=xl/tables/table3.xml><?xml version="1.0" encoding="utf-8"?>
<x:table xmlns:x="http://schemas.openxmlformats.org/spreadsheetml/2006/main" id="3" name="FactStatus" displayName="FactStatus" ref="A21:D28">
  <x:tableColumns count="4">
    <x:tableColumn id="1" name="状态"/>
    <x:tableColumn id="2" name="含义"/>
    <x:tableColumn id="3" name="系统行为"/>
    <x:tableColumn id="4" name="处理动作"/>
  </x:tableColumns>
  <x:tableStyleInfo name="TableStyleMedium2" showRowStripes="1"/>
</x:table>
</file>

<file path=xl/tables/table4.xml><?xml version="1.0" encoding="utf-8"?>
<x:table xmlns:x="http://schemas.openxmlformats.org/spreadsheetml/2006/main" id="4" name="DevTasks" displayName="DevTasks" ref="A4:H29" headerRowCount="1">
  <x:tableColumns count="8">
    <x:tableColumn id="1" name="编号"/>
    <x:tableColumn id="2" name="模块"/>
    <x:tableColumn id="3" name="任务"/>
    <x:tableColumn id="4" name="用户价值"/>
    <x:tableColumn id="5" name="优先级"/>
    <x:tableColumn id="6" name="状态"/>
    <x:tableColumn id="7" name="负责人"/>
    <x:tableColumn id="8" name="验收产物"/>
  </x:tableColumns>
  <x:tableStyleInfo name="TableStyleMedium2" showRowStripes="1"/>
</x:table>
</file>

<file path=xl/tables/table5.xml><?xml version="1.0" encoding="utf-8"?>
<x:table xmlns:x="http://schemas.openxmlformats.org/spreadsheetml/2006/main" id="5" name="PageFlow" displayName="PageFlow" ref="A4:F17">
  <x:tableColumns count="6">
    <x:tableColumn id="1" name="步骤"/>
    <x:tableColumn id="2" name="页面/环节"/>
    <x:tableColumn id="3" name="输入"/>
    <x:tableColumn id="4" name="系统动作"/>
    <x:tableColumn id="5" name="输出"/>
    <x:tableColumn id="6" name="失败处理"/>
  </x:tableColumns>
  <x:tableStyleInfo name="TableStyleMedium2" showRowStripes="1"/>
</x:table>
</file>

<file path=xl/tables/table6.xml><?xml version="1.0" encoding="utf-8"?>
<x:table xmlns:x="http://schemas.openxmlformats.org/spreadsheetml/2006/main" id="6" name="Acceptance" displayName="Acceptance" ref="A4:H20" headerRowCount="1">
  <x:tableColumns count="8">
    <x:tableColumn id="1" name="阶段"/>
    <x:tableColumn id="2" name="验收项"/>
    <x:tableColumn id="3" name="预期结果"/>
    <x:tableColumn id="4" name="具体标准"/>
    <x:tableColumn id="5" name="测试样本"/>
    <x:tableColumn id="6" name="状态"/>
    <x:tableColumn id="7" name="优先级"/>
    <x:tableColumn id="8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RiskDecisions" displayName="RiskDecisions" ref="A4:H20" headerRowCount="1">
  <x:tableColumns count="8">
    <x:tableColumn id="1" name="编号"/>
    <x:tableColumn id="2" name="优先级"/>
    <x:tableColumn id="3" name="领域"/>
    <x:tableColumn id="4" name="风险/决策点"/>
    <x:tableColumn id="5" name="影响"/>
    <x:tableColumn id="6" name="处理原则"/>
    <x:tableColumn id="7" name="状态"/>
    <x:tableColumn id="8" name="实施备注"/>
  </x:tableColumns>
  <x:tableStyleInfo name="TableStyleMedium2" showRowStripes="1"/>
</x:table>
</file>

<file path=xl/tables/table8.xml><?xml version="1.0" encoding="utf-8"?>
<x:table xmlns:x="http://schemas.openxmlformats.org/spreadsheetml/2006/main" id="8" name="DevelopmentLog" displayName="DevelopmentLog" ref="A4:J6">
  <x:tableColumns count="10">
    <x:tableColumn id="1" name="日期"/>
    <x:tableColumn id="2" name="变更编号"/>
    <x:tableColumn id="3" name="类型"/>
    <x:tableColumn id="4" name="需求/问题"/>
    <x:tableColumn id="5" name="改动内容"/>
    <x:tableColumn id="6" name="影响文件/模块"/>
    <x:tableColumn id="7" name="测试与证据"/>
    <x:tableColumn id="8" name="状态"/>
    <x:tableColumn id="9" name="执行者"/>
    <x:tableColumn id="1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04eca1d2c34f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4dc175d0704211" /><Relationship Type="http://schemas.openxmlformats.org/officeDocument/2006/relationships/table" Target="/xl/tables/table3.xml" Id="R33a728b7506046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70d121d7d549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72b1da4229d41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3b580d8e60443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7f58a4bb3134a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438604af29c43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4" customWidth="1"/>
    <x:col min="2" max="2" width="26" customWidth="1"/>
    <x:col min="3" max="6" width="11" customWidth="1"/>
    <x:col min="7" max="7" width="12" customWidth="1"/>
    <x:col min="8" max="8" width="28" customWidth="1"/>
    <x:col min="9" max="12" width="12" customWidth="1"/>
  </x:cols>
  <x:sheetData>
    <x:row r="1" ht="34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6.5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4" customHeight="1">
      <x:c r="A4" s="20" t="s">
        <x:v>2</x:v>
      </x:c>
      <x:c r="B4" s="20"/>
      <x:c r="C4" s="20"/>
      <x:c r="D4" s="21" t="s">
        <x:v>3</x:v>
      </x:c>
      <x:c r="E4" s="21"/>
      <x:c r="F4" s="21"/>
      <x:c r="G4" s="22" t="s">
        <x:v>4</x:v>
      </x:c>
      <x:c r="H4" s="22"/>
      <x:c r="I4" s="22"/>
      <x:c r="J4" s="23" t="s">
        <x:v>5</x:v>
      </x:c>
      <x:c r="K4" s="23"/>
      <x:c r="L4" s="23"/>
    </x:row>
    <x:row r="5">
      <x:c r="A5" s="24" t="s">
        <x:v>6</x:v>
      </x:c>
      <x:c r="B5" s="24"/>
      <x:c r="C5" s="24"/>
      <x:c r="D5" s="25" t="s">
        <x:v>7</x:v>
      </x:c>
      <x:c r="E5" s="25"/>
      <x:c r="F5" s="25"/>
      <x:c r="G5" s="26" t="s">
        <x:v>8</x:v>
      </x:c>
      <x:c r="H5" s="26"/>
      <x:c r="I5" s="26"/>
      <x:c r="J5" s="27" t="s">
        <x:v>9</x:v>
      </x:c>
      <x:c r="K5" s="27"/>
      <x:c r="L5" s="27"/>
    </x:row>
    <x:row r="6">
      <x:c r="A6" s="24"/>
      <x:c r="B6" s="24"/>
      <x:c r="C6" s="24"/>
      <x:c r="D6" s="25"/>
      <x:c r="E6" s="25"/>
      <x:c r="F6" s="25"/>
      <x:c r="G6" s="26"/>
      <x:c r="H6" s="26"/>
      <x:c r="I6" s="26"/>
      <x:c r="J6" s="27"/>
      <x:c r="K6" s="27"/>
      <x:c r="L6" s="27"/>
    </x:row>
    <x:row r="7">
      <x:c r="A7" s="24"/>
      <x:c r="B7" s="24"/>
      <x:c r="C7" s="24"/>
      <x:c r="D7" s="25"/>
      <x:c r="E7" s="25"/>
      <x:c r="F7" s="25"/>
      <x:c r="G7" s="26"/>
      <x:c r="H7" s="26"/>
      <x:c r="I7" s="26"/>
      <x:c r="J7" s="27"/>
      <x:c r="K7" s="27"/>
      <x:c r="L7" s="27"/>
    </x:row>
    <x:row r="8" ht="16.5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25" customHeight="1">
      <x:c r="A9" s="9" t="s">
        <x:v>10</x:v>
      </x:c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 ht="16.5">
      <x:c r="A10" s="28" t="s">
        <x:v>11</x:v>
      </x:c>
      <x:c r="B10" s="28" t="s">
        <x:v>12</x:v>
      </x:c>
      <x:c r="C10" s="3"/>
      <x:c r="D10" s="3"/>
      <x:c r="E10" s="3"/>
      <x:c r="F10" s="3"/>
      <x:c r="G10" s="29" t="s">
        <x:v>13</x:v>
      </x:c>
      <x:c r="H10" s="29" t="s">
        <x:v>14</x:v>
      </x:c>
      <x:c r="I10" s="29" t="s">
        <x:v>15</x:v>
      </x:c>
      <x:c r="J10" s="29" t="s">
        <x:v>16</x:v>
      </x:c>
      <x:c r="K10" s="29" t="s">
        <x:v>16</x:v>
      </x:c>
      <x:c r="L10" s="29" t="s">
        <x:v>16</x:v>
      </x:c>
    </x:row>
    <x:row r="11" ht="82.5">
      <x:c r="A11" s="30" t="s">
        <x:v>17</x:v>
      </x:c>
      <x:c r="B11" s="30" t="n">
        <x:f>COUNTIF('03_开发任务清单'!$F$5:$F$100,"未开始")</x:f>
        <x:v>16</x:v>
      </x:c>
      <x:c r="C11" s="3"/>
      <x:c r="D11" s="3"/>
      <x:c r="E11" s="3"/>
      <x:c r="F11" s="3"/>
      <x:c r="G11" s="11" t="s">
        <x:v>18</x:v>
      </x:c>
      <x:c r="H11" s="11" t="s">
        <x:v>19</x:v>
      </x:c>
      <x:c r="I11" s="11" t="s">
        <x:v>20</x:v>
      </x:c>
      <x:c r="J11" s="11" t="s">
        <x:v>16</x:v>
      </x:c>
      <x:c r="K11" s="11" t="s">
        <x:v>16</x:v>
      </x:c>
      <x:c r="L11" s="11" t="s">
        <x:v>16</x:v>
      </x:c>
    </x:row>
    <x:row r="12" ht="49.5">
      <x:c r="A12" s="30" t="s">
        <x:v>21</x:v>
      </x:c>
      <x:c r="B12" s="30" t="n">
        <x:f>COUNTIF('03_开发任务清单'!$F$5:$F$100,"开发中")</x:f>
        <x:v>5</x:v>
      </x:c>
      <x:c r="C12" s="3"/>
      <x:c r="D12" s="3"/>
      <x:c r="E12" s="3"/>
      <x:c r="F12" s="3"/>
      <x:c r="G12" s="11" t="s">
        <x:v>22</x:v>
      </x:c>
      <x:c r="H12" s="11" t="s">
        <x:v>23</x:v>
      </x:c>
      <x:c r="I12" s="11" t="s">
        <x:v>24</x:v>
      </x:c>
      <x:c r="J12" s="11" t="s">
        <x:v>16</x:v>
      </x:c>
      <x:c r="K12" s="11" t="s">
        <x:v>16</x:v>
      </x:c>
      <x:c r="L12" s="11" t="s">
        <x:v>16</x:v>
      </x:c>
    </x:row>
    <x:row r="13" ht="49.5">
      <x:c r="A13" s="30" t="s">
        <x:v>25</x:v>
      </x:c>
      <x:c r="B13" s="30" t="n">
        <x:f>COUNTIF('03_开发任务清单'!$F$5:$F$100,"待验证")</x:f>
        <x:v>0</x:v>
      </x:c>
      <x:c r="C13" s="3"/>
      <x:c r="D13" s="3"/>
      <x:c r="E13" s="3"/>
      <x:c r="F13" s="3"/>
      <x:c r="G13" s="11" t="s">
        <x:v>26</x:v>
      </x:c>
      <x:c r="H13" s="11" t="s">
        <x:v>27</x:v>
      </x:c>
      <x:c r="I13" s="11" t="s">
        <x:v>28</x:v>
      </x:c>
      <x:c r="J13" s="11" t="s">
        <x:v>16</x:v>
      </x:c>
      <x:c r="K13" s="11" t="s">
        <x:v>16</x:v>
      </x:c>
      <x:c r="L13" s="11" t="s">
        <x:v>16</x:v>
      </x:c>
    </x:row>
    <x:row r="14" ht="66">
      <x:c r="A14" s="30" t="s">
        <x:v>29</x:v>
      </x:c>
      <x:c r="B14" s="30" t="n">
        <x:f>COUNTIF('03_开发任务清单'!$F$5:$F$100,"已完成")</x:f>
        <x:v>1</x:v>
      </x:c>
      <x:c r="C14" s="3"/>
      <x:c r="D14" s="3"/>
      <x:c r="E14" s="3"/>
      <x:c r="F14" s="3"/>
      <x:c r="G14" s="11" t="s">
        <x:v>30</x:v>
      </x:c>
      <x:c r="H14" s="11" t="s">
        <x:v>31</x:v>
      </x:c>
      <x:c r="I14" s="11" t="s">
        <x:v>32</x:v>
      </x:c>
      <x:c r="J14" s="11" t="s">
        <x:v>16</x:v>
      </x:c>
      <x:c r="K14" s="11" t="s">
        <x:v>16</x:v>
      </x:c>
      <x:c r="L14" s="11" t="s">
        <x:v>16</x:v>
      </x:c>
    </x:row>
    <x:row r="15" ht="49.5">
      <x:c r="A15" s="30" t="s">
        <x:v>33</x:v>
      </x:c>
      <x:c r="B15" s="30" t="n">
        <x:f>COUNTIF('03_开发任务清单'!$F$5:$F$100,"有缺陷")</x:f>
        <x:v>3</x:v>
      </x:c>
      <x:c r="C15" s="3"/>
      <x:c r="D15" s="3"/>
      <x:c r="E15" s="3"/>
      <x:c r="F15" s="3"/>
      <x:c r="G15" s="11" t="s">
        <x:v>34</x:v>
      </x:c>
      <x:c r="H15" s="11" t="s">
        <x:v>35</x:v>
      </x:c>
      <x:c r="I15" s="11" t="s">
        <x:v>36</x:v>
      </x:c>
      <x:c r="J15" s="11" t="s">
        <x:v>16</x:v>
      </x:c>
      <x:c r="K15" s="11" t="s">
        <x:v>16</x:v>
      </x:c>
      <x:c r="L15" s="11" t="s">
        <x:v>16</x:v>
      </x:c>
    </x:row>
    <x:row r="16" ht="49.5">
      <x:c r="A16" s="3"/>
      <x:c r="B16" s="3"/>
      <x:c r="C16" s="3"/>
      <x:c r="D16" s="3"/>
      <x:c r="E16" s="3"/>
      <x:c r="F16" s="3"/>
      <x:c r="G16" s="11" t="s">
        <x:v>37</x:v>
      </x:c>
      <x:c r="H16" s="11" t="s">
        <x:v>38</x:v>
      </x:c>
      <x:c r="I16" s="11" t="s">
        <x:v>39</x:v>
      </x:c>
      <x:c r="J16" s="11" t="s">
        <x:v>16</x:v>
      </x:c>
      <x:c r="K16" s="11" t="s">
        <x:v>16</x:v>
      </x:c>
      <x:c r="L16" s="11" t="s">
        <x:v>16</x:v>
      </x:c>
    </x:row>
    <x:row r="17" ht="16.5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5" customHeight="1">
      <x:c r="A18" s="9" t="s">
        <x:v>40</x:v>
      </x:c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 ht="16.5">
      <x:c r="A19" s="31" t="s">
        <x:v>41</x:v>
      </x:c>
      <x:c r="B19" s="11" t="s">
        <x:v>42</x:v>
      </x:c>
      <x:c r="C19" s="11" t="s">
        <x:v>16</x:v>
      </x:c>
      <x:c r="D19" s="11" t="s">
        <x:v>16</x:v>
      </x:c>
      <x:c r="E19" s="11" t="s">
        <x:v>16</x:v>
      </x:c>
      <x:c r="F19" s="11" t="s">
        <x:v>16</x:v>
      </x:c>
      <x:c r="G19" s="11" t="s">
        <x:v>16</x:v>
      </x:c>
      <x:c r="H19" s="11" t="s">
        <x:v>16</x:v>
      </x:c>
      <x:c r="I19" s="11" t="s">
        <x:v>16</x:v>
      </x:c>
      <x:c r="J19" s="11" t="s">
        <x:v>16</x:v>
      </x:c>
      <x:c r="K19" s="11" t="s">
        <x:v>16</x:v>
      </x:c>
      <x:c r="L19" s="11" t="s">
        <x:v>16</x:v>
      </x:c>
    </x:row>
    <x:row r="20" ht="16.5">
      <x:c r="A20" s="31" t="s">
        <x:v>43</x:v>
      </x:c>
      <x:c r="B20" s="11" t="s">
        <x:v>44</x:v>
      </x:c>
      <x:c r="C20" s="11" t="s">
        <x:v>16</x:v>
      </x:c>
      <x:c r="D20" s="11" t="s">
        <x:v>16</x:v>
      </x:c>
      <x:c r="E20" s="11" t="s">
        <x:v>16</x:v>
      </x:c>
      <x:c r="F20" s="11" t="s">
        <x:v>16</x:v>
      </x:c>
      <x:c r="G20" s="11" t="s">
        <x:v>16</x:v>
      </x:c>
      <x:c r="H20" s="11" t="s">
        <x:v>16</x:v>
      </x:c>
      <x:c r="I20" s="11" t="s">
        <x:v>16</x:v>
      </x:c>
      <x:c r="J20" s="11" t="s">
        <x:v>16</x:v>
      </x:c>
      <x:c r="K20" s="11" t="s">
        <x:v>16</x:v>
      </x:c>
      <x:c r="L20" s="11"/>
    </x:row>
    <x:row r="21" ht="16.5">
      <x:c r="A21" s="31" t="s">
        <x:v>45</x:v>
      </x:c>
      <x:c r="B21" s="11" t="s">
        <x:v>46</x:v>
      </x:c>
      <x:c r="C21" s="11" t="s">
        <x:v>16</x:v>
      </x:c>
      <x:c r="D21" s="11" t="s">
        <x:v>16</x:v>
      </x:c>
      <x:c r="E21" s="11" t="s">
        <x:v>16</x:v>
      </x:c>
      <x:c r="F21" s="11" t="s">
        <x:v>16</x:v>
      </x:c>
      <x:c r="G21" s="11" t="s">
        <x:v>16</x:v>
      </x:c>
      <x:c r="H21" s="11" t="s">
        <x:v>16</x:v>
      </x:c>
      <x:c r="I21" s="11" t="s">
        <x:v>16</x:v>
      </x:c>
      <x:c r="J21" s="11" t="s">
        <x:v>16</x:v>
      </x:c>
      <x:c r="K21" s="11" t="s">
        <x:v>16</x:v>
      </x:c>
      <x:c r="L21" s="11"/>
    </x:row>
    <x:row r="22" ht="16.5">
      <x:c r="A22" s="31" t="s">
        <x:v>47</x:v>
      </x:c>
      <x:c r="B22" s="11" t="s">
        <x:v>48</x:v>
      </x:c>
      <x:c r="C22" s="11" t="s">
        <x:v>16</x:v>
      </x:c>
      <x:c r="D22" s="11" t="s">
        <x:v>16</x:v>
      </x:c>
      <x:c r="E22" s="11" t="s">
        <x:v>16</x:v>
      </x:c>
      <x:c r="F22" s="11" t="s">
        <x:v>16</x:v>
      </x:c>
      <x:c r="G22" s="11" t="s">
        <x:v>16</x:v>
      </x:c>
      <x:c r="H22" s="11" t="s">
        <x:v>16</x:v>
      </x:c>
      <x:c r="I22" s="11" t="s">
        <x:v>16</x:v>
      </x:c>
      <x:c r="J22" s="11" t="s">
        <x:v>16</x:v>
      </x:c>
      <x:c r="K22" s="11" t="s">
        <x:v>16</x:v>
      </x:c>
      <x:c r="L22" s="11"/>
    </x:row>
  </x:sheetData>
  <x:mergeCells>
    <x:mergeCell ref="A1:L1"/>
    <x:mergeCell ref="A2:L2"/>
    <x:mergeCell ref="A4:C4"/>
    <x:mergeCell ref="D4:F4"/>
    <x:mergeCell ref="G4:I4"/>
    <x:mergeCell ref="J4:L4"/>
    <x:mergeCell ref="A9:F9"/>
    <x:mergeCell ref="A9:L9"/>
    <x:mergeCell ref="C10:F10"/>
    <x:mergeCell ref="C11:F11"/>
    <x:mergeCell ref="C12:F12"/>
    <x:mergeCell ref="C13:F13"/>
    <x:mergeCell ref="C14:F14"/>
    <x:mergeCell ref="C15:F15"/>
    <x:mergeCell ref="C16:F16"/>
    <x:mergeCell ref="A18:L18"/>
    <x:mergeCell ref="B19:L19"/>
    <x:mergeCell ref="B20:L20"/>
    <x:mergeCell ref="B21:L21"/>
    <x:mergeCell ref="B22:L22"/>
    <x:mergeCell ref="A5:C7"/>
    <x:mergeCell ref="D5:F7"/>
    <x:mergeCell ref="G5:I7"/>
    <x:mergeCell ref="J5:L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2" customWidth="1"/>
    <x:col min="2" max="2" width="72" customWidth="1"/>
    <x:col min="3" max="3" width="12" customWidth="1"/>
  </x:cols>
  <x:sheetData>
    <x:row r="1" ht="34" customHeight="1">
      <x:c r="A1" s="1" t="s">
        <x:v>49</x:v>
      </x:c>
      <x:c r="B1" s="1"/>
      <x:c r="C1" s="1"/>
      <x:c r="D1" s="1"/>
      <x:c r="E1" s="1"/>
      <x:c r="F1" s="1"/>
    </x:row>
    <x:row r="2" ht="26" customHeight="1">
      <x:c r="A2" s="2" t="s">
        <x:v>50</x:v>
      </x:c>
      <x:c r="B2" s="2"/>
      <x:c r="C2" s="2"/>
      <x:c r="D2" s="2"/>
      <x:c r="E2" s="2"/>
      <x:c r="F2" s="2"/>
    </x:row>
    <x:row r="3" ht="16.5">
      <x:c r="A3" s="3"/>
      <x:c r="B3" s="3"/>
      <x:c r="C3" s="3"/>
      <x:c r="D3" s="3"/>
      <x:c r="E3" s="3"/>
      <x:c r="F3" s="3"/>
    </x:row>
    <x:row r="4" ht="28" customHeight="1">
      <x:c r="A4" s="4" t="s">
        <x:v>51</x:v>
      </x:c>
      <x:c r="B4" s="4" t="s">
        <x:v>52</x:v>
      </x:c>
      <x:c r="C4" s="4" t="s">
        <x:v>53</x:v>
      </x:c>
      <x:c r="D4" s="3"/>
      <x:c r="E4" s="3"/>
      <x:c r="F4" s="3"/>
    </x:row>
    <x:row r="5" ht="16.5">
      <x:c r="A5" s="6" t="s">
        <x:v>54</x:v>
      </x:c>
      <x:c r="B5" s="6" t="s">
        <x:v>55</x:v>
      </x:c>
      <x:c r="C5" s="6" t="s">
        <x:v>56</x:v>
      </x:c>
      <x:c r="D5" s="3"/>
      <x:c r="E5" s="3"/>
      <x:c r="F5" s="3"/>
    </x:row>
    <x:row r="6" ht="16.5">
      <x:c r="A6" s="6" t="s">
        <x:v>57</x:v>
      </x:c>
      <x:c r="B6" s="6" t="s">
        <x:v>58</x:v>
      </x:c>
      <x:c r="C6" s="6" t="s">
        <x:v>56</x:v>
      </x:c>
      <x:c r="D6" s="3"/>
      <x:c r="E6" s="3"/>
      <x:c r="F6" s="3"/>
    </x:row>
    <x:row r="7" ht="33">
      <x:c r="A7" s="6" t="s">
        <x:v>59</x:v>
      </x:c>
      <x:c r="B7" s="6" t="s">
        <x:v>60</x:v>
      </x:c>
      <x:c r="C7" s="6" t="s">
        <x:v>56</x:v>
      </x:c>
      <x:c r="D7" s="3"/>
      <x:c r="E7" s="3"/>
      <x:c r="F7" s="3"/>
    </x:row>
    <x:row r="8" ht="16.5">
      <x:c r="A8" s="6" t="s">
        <x:v>61</x:v>
      </x:c>
      <x:c r="B8" s="6" t="s">
        <x:v>62</x:v>
      </x:c>
      <x:c r="C8" s="6" t="s">
        <x:v>56</x:v>
      </x:c>
      <x:c r="D8" s="3"/>
      <x:c r="E8" s="3"/>
      <x:c r="F8" s="3"/>
    </x:row>
    <x:row r="9" ht="16.5">
      <x:c r="A9" s="6" t="s">
        <x:v>63</x:v>
      </x:c>
      <x:c r="B9" s="6" t="s">
        <x:v>64</x:v>
      </x:c>
      <x:c r="C9" s="6" t="s">
        <x:v>56</x:v>
      </x:c>
      <x:c r="D9" s="3"/>
      <x:c r="E9" s="3"/>
      <x:c r="F9" s="3"/>
    </x:row>
    <x:row r="10" ht="16.5">
      <x:c r="A10" s="6" t="s">
        <x:v>65</x:v>
      </x:c>
      <x:c r="B10" s="6" t="s">
        <x:v>66</x:v>
      </x:c>
      <x:c r="C10" s="6" t="s">
        <x:v>56</x:v>
      </x:c>
      <x:c r="D10" s="3"/>
      <x:c r="E10" s="3"/>
      <x:c r="F10" s="3"/>
    </x:row>
    <x:row r="11" ht="16.5">
      <x:c r="A11" s="6" t="s">
        <x:v>67</x:v>
      </x:c>
      <x:c r="B11" s="6" t="s">
        <x:v>68</x:v>
      </x:c>
      <x:c r="C11" s="6" t="s">
        <x:v>56</x:v>
      </x:c>
      <x:c r="D11" s="3"/>
      <x:c r="E11" s="3"/>
      <x:c r="F11" s="3"/>
    </x:row>
    <x:row r="12" ht="16.5">
      <x:c r="A12" s="6" t="s">
        <x:v>4</x:v>
      </x:c>
      <x:c r="B12" s="6" t="s">
        <x:v>69</x:v>
      </x:c>
      <x:c r="C12" s="6" t="s">
        <x:v>70</x:v>
      </x:c>
      <x:c r="D12" s="3"/>
      <x:c r="E12" s="3"/>
      <x:c r="F12" s="3"/>
    </x:row>
    <x:row r="13" ht="16.5">
      <x:c r="A13" s="6" t="s">
        <x:v>71</x:v>
      </x:c>
      <x:c r="B13" s="6" t="s">
        <x:v>72</x:v>
      </x:c>
      <x:c r="C13" s="6" t="s">
        <x:v>56</x:v>
      </x:c>
      <x:c r="D13" s="3"/>
      <x:c r="E13" s="3"/>
      <x:c r="F13" s="3"/>
    </x:row>
    <x:row r="14" ht="16.5">
      <x:c r="A14" s="6" t="s">
        <x:v>73</x:v>
      </x:c>
      <x:c r="B14" s="6" t="s">
        <x:v>7</x:v>
      </x:c>
      <x:c r="C14" s="6" t="s">
        <x:v>56</x:v>
      </x:c>
      <x:c r="D14" s="3"/>
      <x:c r="E14" s="3"/>
      <x:c r="F14" s="3"/>
    </x:row>
    <x:row r="15" ht="16.5">
      <x:c r="A15" s="6" t="s">
        <x:v>74</x:v>
      </x:c>
      <x:c r="B15" s="6" t="s">
        <x:v>75</x:v>
      </x:c>
      <x:c r="C15" s="6" t="s">
        <x:v>76</x:v>
      </x:c>
      <x:c r="D15" s="3"/>
      <x:c r="E15" s="3"/>
      <x:c r="F15" s="3"/>
    </x:row>
    <x:row r="16" ht="33">
      <x:c r="A16" s="8" t="s">
        <x:v>77</x:v>
      </x:c>
      <x:c r="B16" s="8" t="s">
        <x:v>78</x:v>
      </x:c>
      <x:c r="C16" s="8" t="s">
        <x:v>56</x:v>
      </x:c>
      <x:c r="D16" s="3"/>
      <x:c r="E16" s="3"/>
      <x:c r="F16" s="3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104eca1d2c34f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8" customWidth="1"/>
    <x:col min="2" max="2" width="36" customWidth="1"/>
    <x:col min="3" max="3" width="52" customWidth="1"/>
    <x:col min="4" max="4" width="34" customWidth="1"/>
    <x:col min="5" max="5" width="52" customWidth="1"/>
    <x:col min="6" max="6" width="22" customWidth="1"/>
  </x:cols>
  <x:sheetData>
    <x:row r="1" ht="34" customHeight="1">
      <x:c r="A1" s="1" t="s">
        <x:v>79</x:v>
      </x:c>
      <x:c r="B1" s="1"/>
      <x:c r="C1" s="1"/>
      <x:c r="D1" s="1"/>
      <x:c r="E1" s="1"/>
      <x:c r="F1" s="1"/>
      <x:c r="G1" s="1"/>
      <x:c r="H1" s="1"/>
    </x:row>
    <x:row r="2" ht="26" customHeight="1">
      <x:c r="A2" s="2" t="s">
        <x:v>80</x:v>
      </x:c>
      <x:c r="B2" s="2"/>
      <x:c r="C2" s="2"/>
      <x:c r="D2" s="2"/>
      <x:c r="E2" s="2"/>
      <x:c r="F2" s="2"/>
      <x:c r="G2" s="2"/>
      <x:c r="H2" s="2"/>
    </x:row>
    <x:row r="3" ht="16.5">
      <x:c r="A3" s="3"/>
      <x:c r="B3" s="3"/>
      <x:c r="C3" s="3"/>
      <x:c r="D3" s="3"/>
      <x:c r="E3" s="3"/>
      <x:c r="F3" s="3"/>
      <x:c r="G3" s="3"/>
      <x:c r="H3" s="3"/>
    </x:row>
    <x:row r="4" ht="28" customHeight="1">
      <x:c r="A4" s="4" t="s">
        <x:v>81</x:v>
      </x:c>
      <x:c r="B4" s="4" t="s">
        <x:v>82</x:v>
      </x:c>
      <x:c r="C4" s="4" t="s">
        <x:v>83</x:v>
      </x:c>
      <x:c r="D4" s="4" t="s">
        <x:v>84</x:v>
      </x:c>
      <x:c r="E4" s="4" t="s">
        <x:v>85</x:v>
      </x:c>
      <x:c r="F4" s="4" t="s">
        <x:v>86</x:v>
      </x:c>
      <x:c r="G4" s="3"/>
      <x:c r="H4" s="3"/>
    </x:row>
    <x:row r="5" ht="16.5">
      <x:c r="A5" s="6" t="s">
        <x:v>87</x:v>
      </x:c>
      <x:c r="B5" s="6" t="s">
        <x:v>88</x:v>
      </x:c>
      <x:c r="C5" s="6" t="s">
        <x:v>89</x:v>
      </x:c>
      <x:c r="D5" s="6" t="s">
        <x:v>90</x:v>
      </x:c>
      <x:c r="E5" s="6" t="s">
        <x:v>91</x:v>
      </x:c>
      <x:c r="F5" s="6" t="s">
        <x:v>92</x:v>
      </x:c>
      <x:c r="G5" s="3"/>
      <x:c r="H5" s="3"/>
    </x:row>
    <x:row r="6" ht="33">
      <x:c r="A6" s="6" t="s">
        <x:v>93</x:v>
      </x:c>
      <x:c r="B6" s="6" t="s">
        <x:v>94</x:v>
      </x:c>
      <x:c r="C6" s="6" t="s">
        <x:v>95</x:v>
      </x:c>
      <x:c r="D6" s="6" t="s">
        <x:v>96</x:v>
      </x:c>
      <x:c r="E6" s="6" t="s">
        <x:v>97</x:v>
      </x:c>
      <x:c r="F6" s="6" t="s">
        <x:v>98</x:v>
      </x:c>
      <x:c r="G6" s="3"/>
      <x:c r="H6" s="3"/>
    </x:row>
    <x:row r="7" ht="33">
      <x:c r="A7" s="6" t="s">
        <x:v>99</x:v>
      </x:c>
      <x:c r="B7" s="6" t="s">
        <x:v>100</x:v>
      </x:c>
      <x:c r="C7" s="6" t="s">
        <x:v>101</x:v>
      </x:c>
      <x:c r="D7" s="6" t="s">
        <x:v>102</x:v>
      </x:c>
      <x:c r="E7" s="6" t="s">
        <x:v>103</x:v>
      </x:c>
      <x:c r="F7" s="6" t="s">
        <x:v>104</x:v>
      </x:c>
      <x:c r="G7" s="3"/>
      <x:c r="H7" s="3"/>
    </x:row>
    <x:row r="8" ht="33">
      <x:c r="A8" s="6" t="s">
        <x:v>105</x:v>
      </x:c>
      <x:c r="B8" s="6" t="s">
        <x:v>106</x:v>
      </x:c>
      <x:c r="C8" s="6" t="s">
        <x:v>107</x:v>
      </x:c>
      <x:c r="D8" s="6" t="s">
        <x:v>108</x:v>
      </x:c>
      <x:c r="E8" s="6" t="s">
        <x:v>109</x:v>
      </x:c>
      <x:c r="F8" s="6" t="s">
        <x:v>110</x:v>
      </x:c>
      <x:c r="G8" s="3"/>
      <x:c r="H8" s="3"/>
    </x:row>
    <x:row r="9" ht="16.5">
      <x:c r="A9" s="6" t="s">
        <x:v>111</x:v>
      </x:c>
      <x:c r="B9" s="6" t="s">
        <x:v>112</x:v>
      </x:c>
      <x:c r="C9" s="6" t="s">
        <x:v>113</x:v>
      </x:c>
      <x:c r="D9" s="6" t="s">
        <x:v>114</x:v>
      </x:c>
      <x:c r="E9" s="6" t="s">
        <x:v>115</x:v>
      </x:c>
      <x:c r="F9" s="6" t="s">
        <x:v>116</x:v>
      </x:c>
      <x:c r="G9" s="3"/>
      <x:c r="H9" s="3"/>
    </x:row>
    <x:row r="10" ht="16.5">
      <x:c r="A10" s="6" t="s">
        <x:v>117</x:v>
      </x:c>
      <x:c r="B10" s="6" t="s">
        <x:v>118</x:v>
      </x:c>
      <x:c r="C10" s="6" t="s">
        <x:v>119</x:v>
      </x:c>
      <x:c r="D10" s="6" t="s">
        <x:v>120</x:v>
      </x:c>
      <x:c r="E10" s="6" t="s">
        <x:v>121</x:v>
      </x:c>
      <x:c r="F10" s="6" t="s">
        <x:v>110</x:v>
      </x:c>
      <x:c r="G10" s="3"/>
      <x:c r="H10" s="3"/>
    </x:row>
    <x:row r="11" ht="16.5">
      <x:c r="A11" s="6" t="s">
        <x:v>122</x:v>
      </x:c>
      <x:c r="B11" s="6" t="s">
        <x:v>123</x:v>
      </x:c>
      <x:c r="C11" s="6" t="s">
        <x:v>124</x:v>
      </x:c>
      <x:c r="D11" s="6" t="s">
        <x:v>125</x:v>
      </x:c>
      <x:c r="E11" s="6" t="s">
        <x:v>126</x:v>
      </x:c>
      <x:c r="F11" s="6" t="s">
        <x:v>127</x:v>
      </x:c>
      <x:c r="G11" s="3"/>
      <x:c r="H11" s="3"/>
    </x:row>
    <x:row r="12" ht="16.5">
      <x:c r="A12" s="6" t="s">
        <x:v>128</x:v>
      </x:c>
      <x:c r="B12" s="6" t="s">
        <x:v>129</x:v>
      </x:c>
      <x:c r="C12" s="6" t="s">
        <x:v>130</x:v>
      </x:c>
      <x:c r="D12" s="6" t="s">
        <x:v>131</x:v>
      </x:c>
      <x:c r="E12" s="6" t="s">
        <x:v>132</x:v>
      </x:c>
      <x:c r="F12" s="6" t="s">
        <x:v>110</x:v>
      </x:c>
      <x:c r="G12" s="3"/>
      <x:c r="H12" s="3"/>
    </x:row>
    <x:row r="13" ht="33">
      <x:c r="A13" s="6" t="s">
        <x:v>133</x:v>
      </x:c>
      <x:c r="B13" s="6" t="s">
        <x:v>134</x:v>
      </x:c>
      <x:c r="C13" s="6" t="s">
        <x:v>135</x:v>
      </x:c>
      <x:c r="D13" s="6" t="s">
        <x:v>136</x:v>
      </x:c>
      <x:c r="E13" s="6" t="s">
        <x:v>137</x:v>
      </x:c>
      <x:c r="F13" s="6" t="s">
        <x:v>98</x:v>
      </x:c>
      <x:c r="G13" s="3"/>
      <x:c r="H13" s="3"/>
    </x:row>
    <x:row r="14" ht="16.5">
      <x:c r="A14" s="6" t="s">
        <x:v>138</x:v>
      </x:c>
      <x:c r="B14" s="6" t="s">
        <x:v>139</x:v>
      </x:c>
      <x:c r="C14" s="6" t="s">
        <x:v>140</x:v>
      </x:c>
      <x:c r="D14" s="6" t="s">
        <x:v>141</x:v>
      </x:c>
      <x:c r="E14" s="6" t="s">
        <x:v>142</x:v>
      </x:c>
      <x:c r="F14" s="6" t="s">
        <x:v>143</x:v>
      </x:c>
      <x:c r="G14" s="3"/>
      <x:c r="H14" s="3"/>
    </x:row>
    <x:row r="15" ht="16.5">
      <x:c r="A15" s="6" t="s">
        <x:v>144</x:v>
      </x:c>
      <x:c r="B15" s="6" t="s">
        <x:v>145</x:v>
      </x:c>
      <x:c r="C15" s="6" t="s">
        <x:v>146</x:v>
      </x:c>
      <x:c r="D15" s="6" t="s">
        <x:v>147</x:v>
      </x:c>
      <x:c r="E15" s="6" t="s">
        <x:v>148</x:v>
      </x:c>
      <x:c r="F15" s="6" t="s">
        <x:v>149</x:v>
      </x:c>
      <x:c r="G15" s="3"/>
      <x:c r="H15" s="3"/>
    </x:row>
    <x:row r="16" ht="16.5">
      <x:c r="A16" s="6" t="s">
        <x:v>150</x:v>
      </x:c>
      <x:c r="B16" s="6" t="s">
        <x:v>151</x:v>
      </x:c>
      <x:c r="C16" s="6" t="s">
        <x:v>152</x:v>
      </x:c>
      <x:c r="D16" s="6" t="s">
        <x:v>153</x:v>
      </x:c>
      <x:c r="E16" s="6" t="s">
        <x:v>154</x:v>
      </x:c>
      <x:c r="F16" s="6" t="s">
        <x:v>155</x:v>
      </x:c>
      <x:c r="G16" s="3"/>
      <x:c r="H16" s="3"/>
    </x:row>
    <x:row r="17" ht="33">
      <x:c r="A17" s="8" t="s">
        <x:v>156</x:v>
      </x:c>
      <x:c r="B17" s="8" t="s">
        <x:v>157</x:v>
      </x:c>
      <x:c r="C17" s="8" t="s">
        <x:v>158</x:v>
      </x:c>
      <x:c r="D17" s="8" t="s">
        <x:v>159</x:v>
      </x:c>
      <x:c r="E17" s="8" t="s">
        <x:v>160</x:v>
      </x:c>
      <x:c r="F17" s="8" t="s">
        <x:v>161</x:v>
      </x:c>
      <x:c r="G17" s="3"/>
      <x:c r="H17" s="3"/>
    </x:row>
    <x:row r="18" ht="16.5">
      <x:c r="A18" s="3"/>
      <x:c r="B18" s="3"/>
      <x:c r="C18" s="3"/>
      <x:c r="D18" s="3"/>
      <x:c r="E18" s="3"/>
      <x:c r="F18" s="3"/>
      <x:c r="G18" s="3"/>
      <x:c r="H18" s="3"/>
    </x:row>
    <x:row r="19" ht="16.5">
      <x:c r="A19" s="3"/>
      <x:c r="B19" s="3"/>
      <x:c r="C19" s="3"/>
      <x:c r="D19" s="3"/>
      <x:c r="E19" s="3"/>
      <x:c r="F19" s="3"/>
      <x:c r="G19" s="3"/>
      <x:c r="H19" s="3"/>
    </x:row>
    <x:row r="20" ht="25" customHeight="1">
      <x:c r="A20" s="9" t="s">
        <x:v>162</x:v>
      </x:c>
      <x:c r="B20" s="9"/>
      <x:c r="C20" s="9"/>
      <x:c r="D20" s="9"/>
      <x:c r="E20" s="9"/>
      <x:c r="F20" s="9"/>
      <x:c r="G20" s="9"/>
      <x:c r="H20" s="9"/>
    </x:row>
    <x:row r="21" ht="28" customHeight="1">
      <x:c r="A21" s="4" t="s">
        <x:v>11</x:v>
      </x:c>
      <x:c r="B21" s="4" t="s">
        <x:v>163</x:v>
      </x:c>
      <x:c r="C21" s="4" t="s">
        <x:v>164</x:v>
      </x:c>
      <x:c r="D21" s="4" t="s">
        <x:v>165</x:v>
      </x:c>
      <x:c r="E21" s="3"/>
      <x:c r="F21" s="3"/>
      <x:c r="G21" s="3"/>
      <x:c r="H21" s="3"/>
    </x:row>
    <x:row r="22" ht="16.5">
      <x:c r="A22" s="6" t="s">
        <x:v>166</x:v>
      </x:c>
      <x:c r="B22" s="6" t="s">
        <x:v>167</x:v>
      </x:c>
      <x:c r="C22" s="6" t="s">
        <x:v>168</x:v>
      </x:c>
      <x:c r="D22" s="6" t="s">
        <x:v>169</x:v>
      </x:c>
      <x:c r="E22" s="3"/>
      <x:c r="F22" s="3"/>
      <x:c r="G22" s="3"/>
      <x:c r="H22" s="3"/>
    </x:row>
    <x:row r="23" ht="16.5">
      <x:c r="A23" s="6" t="s">
        <x:v>170</x:v>
      </x:c>
      <x:c r="B23" s="6" t="s">
        <x:v>171</x:v>
      </x:c>
      <x:c r="C23" s="6" t="s">
        <x:v>172</x:v>
      </x:c>
      <x:c r="D23" s="6" t="s">
        <x:v>173</x:v>
      </x:c>
      <x:c r="E23" s="3"/>
      <x:c r="F23" s="3"/>
      <x:c r="G23" s="3"/>
      <x:c r="H23" s="3"/>
    </x:row>
    <x:row r="24" ht="16.5">
      <x:c r="A24" s="6" t="s">
        <x:v>174</x:v>
      </x:c>
      <x:c r="B24" s="6" t="s">
        <x:v>175</x:v>
      </x:c>
      <x:c r="C24" s="6" t="s">
        <x:v>176</x:v>
      </x:c>
      <x:c r="D24" s="6" t="s">
        <x:v>177</x:v>
      </x:c>
      <x:c r="E24" s="3"/>
      <x:c r="F24" s="3"/>
      <x:c r="G24" s="3"/>
      <x:c r="H24" s="3"/>
    </x:row>
    <x:row r="25" ht="16.5">
      <x:c r="A25" s="6" t="s">
        <x:v>178</x:v>
      </x:c>
      <x:c r="B25" s="6" t="s">
        <x:v>179</x:v>
      </x:c>
      <x:c r="C25" s="6" t="s">
        <x:v>180</x:v>
      </x:c>
      <x:c r="D25" s="6" t="s">
        <x:v>181</x:v>
      </x:c>
      <x:c r="E25" s="3"/>
      <x:c r="F25" s="3"/>
      <x:c r="G25" s="3"/>
      <x:c r="H25" s="3"/>
    </x:row>
    <x:row r="26" ht="16.5">
      <x:c r="A26" s="6" t="s">
        <x:v>182</x:v>
      </x:c>
      <x:c r="B26" s="6" t="s">
        <x:v>183</x:v>
      </x:c>
      <x:c r="C26" s="6" t="s">
        <x:v>184</x:v>
      </x:c>
      <x:c r="D26" s="6" t="s">
        <x:v>185</x:v>
      </x:c>
      <x:c r="E26" s="3"/>
      <x:c r="F26" s="3"/>
      <x:c r="G26" s="3"/>
      <x:c r="H26" s="3"/>
    </x:row>
    <x:row r="27" ht="16.5">
      <x:c r="A27" s="6" t="s">
        <x:v>186</x:v>
      </x:c>
      <x:c r="B27" s="6" t="s">
        <x:v>187</x:v>
      </x:c>
      <x:c r="C27" s="6" t="s">
        <x:v>188</x:v>
      </x:c>
      <x:c r="D27" s="6" t="s">
        <x:v>189</x:v>
      </x:c>
      <x:c r="E27" s="3"/>
      <x:c r="F27" s="3"/>
      <x:c r="G27" s="3"/>
      <x:c r="H27" s="3"/>
    </x:row>
    <x:row r="28" ht="16.5">
      <x:c r="A28" s="8" t="s">
        <x:v>190</x:v>
      </x:c>
      <x:c r="B28" s="8" t="s">
        <x:v>191</x:v>
      </x:c>
      <x:c r="C28" s="8" t="s">
        <x:v>192</x:v>
      </x:c>
      <x:c r="D28" s="8" t="s">
        <x:v>193</x:v>
      </x:c>
      <x:c r="E28" s="3"/>
      <x:c r="F28" s="3"/>
      <x:c r="G28" s="3"/>
      <x:c r="H28" s="3"/>
    </x:row>
  </x:sheetData>
  <x:mergeCells>
    <x:mergeCell ref="A1:H1"/>
    <x:mergeCell ref="A2:H2"/>
    <x:mergeCell ref="A20:H20"/>
  </x:mergeCells>
  <x:pageMargins left="0.7" right="0.7" top="0.75" bottom="0.75" header="0.3" footer="0.3"/>
  <x:tableParts count="2">
    <x:tablePart xmlns:r="http://schemas.openxmlformats.org/officeDocument/2006/relationships" r:id="R384dc175d0704211"/>
    <x:tablePart xmlns:r="http://schemas.openxmlformats.org/officeDocument/2006/relationships" r:id="R33a728b7506046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1" customWidth="1"/>
    <x:col min="2" max="2" width="18" customWidth="1"/>
    <x:col min="3" max="4" width="38" customWidth="1"/>
    <x:col min="5" max="5" width="10" customWidth="1"/>
    <x:col min="6" max="6" width="12" customWidth="1"/>
    <x:col min="7" max="7" width="16" customWidth="1"/>
    <x:col min="8" max="8" width="46" customWidth="1"/>
  </x:cols>
  <x:sheetData>
    <x:row r="1" ht="34" customHeight="1">
      <x:c r="A1" s="1" t="s">
        <x:v>194</x:v>
      </x:c>
      <x:c r="B1" s="1"/>
      <x:c r="C1" s="1"/>
      <x:c r="D1" s="1"/>
      <x:c r="E1" s="1"/>
      <x:c r="F1" s="1"/>
      <x:c r="G1" s="1"/>
      <x:c r="H1" s="1"/>
    </x:row>
    <x:row r="2" ht="26" customHeight="1">
      <x:c r="A2" s="2" t="s">
        <x:v>195</x:v>
      </x:c>
      <x:c r="B2" s="2"/>
      <x:c r="C2" s="2"/>
      <x:c r="D2" s="2"/>
      <x:c r="E2" s="2"/>
      <x:c r="F2" s="2"/>
      <x:c r="G2" s="2"/>
      <x:c r="H2" s="2"/>
    </x:row>
    <x:row r="3" ht="16.5">
      <x:c r="A3" s="3"/>
      <x:c r="B3" s="3"/>
      <x:c r="C3" s="3"/>
      <x:c r="D3" s="3"/>
      <x:c r="E3" s="3"/>
      <x:c r="F3" s="3"/>
      <x:c r="G3" s="3"/>
      <x:c r="H3" s="3"/>
    </x:row>
    <x:row r="4" ht="28" customHeight="1">
      <x:c r="A4" s="4" t="s">
        <x:v>196</x:v>
      </x:c>
      <x:c r="B4" s="4" t="s">
        <x:v>197</x:v>
      </x:c>
      <x:c r="C4" s="4" t="s">
        <x:v>198</x:v>
      </x:c>
      <x:c r="D4" s="4" t="s">
        <x:v>199</x:v>
      </x:c>
      <x:c r="E4" s="4" t="s">
        <x:v>200</x:v>
      </x:c>
      <x:c r="F4" s="4" t="s">
        <x:v>11</x:v>
      </x:c>
      <x:c r="G4" s="4" t="s">
        <x:v>201</x:v>
      </x:c>
      <x:c r="H4" s="4" t="s">
        <x:v>202</x:v>
      </x:c>
    </x:row>
    <x:row r="5" ht="33">
      <x:c r="A5" s="6" t="s">
        <x:v>203</x:v>
      </x:c>
      <x:c r="B5" s="6" t="s">
        <x:v>204</x:v>
      </x:c>
      <x:c r="C5" s="6" t="s">
        <x:v>205</x:v>
      </x:c>
      <x:c r="D5" s="6" t="s">
        <x:v>206</x:v>
      </x:c>
      <x:c r="E5" s="12" t="s">
        <x:v>56</x:v>
      </x:c>
      <x:c r="F5" s="15" t="s">
        <x:v>17</x:v>
      </x:c>
      <x:c r="G5" s="6" t="s">
        <x:v>207</x:v>
      </x:c>
      <x:c r="H5" s="6" t="s">
        <x:v>208</x:v>
      </x:c>
    </x:row>
    <x:row r="6" ht="16.5">
      <x:c r="A6" s="6" t="s">
        <x:v>209</x:v>
      </x:c>
      <x:c r="B6" s="6" t="s">
        <x:v>210</x:v>
      </x:c>
      <x:c r="C6" s="6" t="s">
        <x:v>211</x:v>
      </x:c>
      <x:c r="D6" s="6" t="s">
        <x:v>212</x:v>
      </x:c>
      <x:c r="E6" s="12" t="s">
        <x:v>56</x:v>
      </x:c>
      <x:c r="F6" s="15" t="s">
        <x:v>17</x:v>
      </x:c>
      <x:c r="G6" s="6" t="s">
        <x:v>207</x:v>
      </x:c>
      <x:c r="H6" s="6" t="s">
        <x:v>213</x:v>
      </x:c>
    </x:row>
    <x:row r="7" ht="16.5">
      <x:c r="A7" s="6" t="s">
        <x:v>214</x:v>
      </x:c>
      <x:c r="B7" s="6" t="s">
        <x:v>215</x:v>
      </x:c>
      <x:c r="C7" s="6" t="s">
        <x:v>216</x:v>
      </x:c>
      <x:c r="D7" s="6" t="s">
        <x:v>217</x:v>
      </x:c>
      <x:c r="E7" s="12" t="s">
        <x:v>56</x:v>
      </x:c>
      <x:c r="F7" s="15" t="s">
        <x:v>17</x:v>
      </x:c>
      <x:c r="G7" s="6" t="s">
        <x:v>218</x:v>
      </x:c>
      <x:c r="H7" s="6" t="s">
        <x:v>219</x:v>
      </x:c>
    </x:row>
    <x:row r="8" ht="33">
      <x:c r="A8" s="6" t="s">
        <x:v>220</x:v>
      </x:c>
      <x:c r="B8" s="6" t="s">
        <x:v>221</x:v>
      </x:c>
      <x:c r="C8" s="6" t="s">
        <x:v>222</x:v>
      </x:c>
      <x:c r="D8" s="6" t="s">
        <x:v>223</x:v>
      </x:c>
      <x:c r="E8" s="12" t="s">
        <x:v>56</x:v>
      </x:c>
      <x:c r="F8" s="15" t="s">
        <x:v>17</x:v>
      </x:c>
      <x:c r="G8" s="6" t="s">
        <x:v>224</x:v>
      </x:c>
      <x:c r="H8" s="6" t="s">
        <x:v>225</x:v>
      </x:c>
    </x:row>
    <x:row r="9" ht="16.5">
      <x:c r="A9" s="6" t="s">
        <x:v>226</x:v>
      </x:c>
      <x:c r="B9" s="6" t="s">
        <x:v>227</x:v>
      </x:c>
      <x:c r="C9" s="6" t="s">
        <x:v>228</x:v>
      </x:c>
      <x:c r="D9" s="6" t="s">
        <x:v>229</x:v>
      </x:c>
      <x:c r="E9" s="12" t="s">
        <x:v>56</x:v>
      </x:c>
      <x:c r="F9" s="18" t="s">
        <x:v>21</x:v>
      </x:c>
      <x:c r="G9" s="6" t="s">
        <x:v>230</x:v>
      </x:c>
      <x:c r="H9" s="6" t="s">
        <x:v>231</x:v>
      </x:c>
    </x:row>
    <x:row r="10" ht="16.5">
      <x:c r="A10" s="6" t="s">
        <x:v>232</x:v>
      </x:c>
      <x:c r="B10" s="6" t="s">
        <x:v>233</x:v>
      </x:c>
      <x:c r="C10" s="6" t="s">
        <x:v>234</x:v>
      </x:c>
      <x:c r="D10" s="6" t="s">
        <x:v>235</x:v>
      </x:c>
      <x:c r="E10" s="12" t="s">
        <x:v>56</x:v>
      </x:c>
      <x:c r="F10" s="15" t="s">
        <x:v>17</x:v>
      </x:c>
      <x:c r="G10" s="6" t="s">
        <x:v>236</x:v>
      </x:c>
      <x:c r="H10" s="6" t="s">
        <x:v>237</x:v>
      </x:c>
    </x:row>
    <x:row r="11" ht="16.5">
      <x:c r="A11" s="6" t="s">
        <x:v>238</x:v>
      </x:c>
      <x:c r="B11" s="6" t="s">
        <x:v>239</x:v>
      </x:c>
      <x:c r="C11" s="6" t="s">
        <x:v>240</x:v>
      </x:c>
      <x:c r="D11" s="6" t="s">
        <x:v>241</x:v>
      </x:c>
      <x:c r="E11" s="12" t="s">
        <x:v>56</x:v>
      </x:c>
      <x:c r="F11" s="15" t="s">
        <x:v>17</x:v>
      </x:c>
      <x:c r="G11" s="6" t="s">
        <x:v>207</x:v>
      </x:c>
      <x:c r="H11" s="6" t="s">
        <x:v>242</x:v>
      </x:c>
    </x:row>
    <x:row r="12" ht="16.5">
      <x:c r="A12" s="6" t="s">
        <x:v>243</x:v>
      </x:c>
      <x:c r="B12" s="6" t="s">
        <x:v>244</x:v>
      </x:c>
      <x:c r="C12" s="6" t="s">
        <x:v>245</x:v>
      </x:c>
      <x:c r="D12" s="6" t="s">
        <x:v>246</x:v>
      </x:c>
      <x:c r="E12" s="12" t="s">
        <x:v>56</x:v>
      </x:c>
      <x:c r="F12" s="15" t="s">
        <x:v>17</x:v>
      </x:c>
      <x:c r="G12" s="6" t="s">
        <x:v>207</x:v>
      </x:c>
      <x:c r="H12" s="6" t="s">
        <x:v>247</x:v>
      </x:c>
    </x:row>
    <x:row r="13" ht="16.5">
      <x:c r="A13" s="6" t="s">
        <x:v>248</x:v>
      </x:c>
      <x:c r="B13" s="6" t="s">
        <x:v>249</x:v>
      </x:c>
      <x:c r="C13" s="6" t="s">
        <x:v>250</x:v>
      </x:c>
      <x:c r="D13" s="6" t="s">
        <x:v>251</x:v>
      </x:c>
      <x:c r="E13" s="12" t="s">
        <x:v>56</x:v>
      </x:c>
      <x:c r="F13" s="15" t="s">
        <x:v>17</x:v>
      </x:c>
      <x:c r="G13" s="6" t="s">
        <x:v>252</x:v>
      </x:c>
      <x:c r="H13" s="6" t="s">
        <x:v>253</x:v>
      </x:c>
    </x:row>
    <x:row r="14" ht="16.5">
      <x:c r="A14" s="6" t="s">
        <x:v>254</x:v>
      </x:c>
      <x:c r="B14" s="6" t="s">
        <x:v>255</x:v>
      </x:c>
      <x:c r="C14" s="6" t="s">
        <x:v>256</x:v>
      </x:c>
      <x:c r="D14" s="6" t="s">
        <x:v>257</x:v>
      </x:c>
      <x:c r="E14" s="12" t="s">
        <x:v>56</x:v>
      </x:c>
      <x:c r="F14" s="15" t="s">
        <x:v>17</x:v>
      </x:c>
      <x:c r="G14" s="6" t="s">
        <x:v>207</x:v>
      </x:c>
      <x:c r="H14" s="6" t="s">
        <x:v>258</x:v>
      </x:c>
    </x:row>
    <x:row r="15" ht="16.5">
      <x:c r="A15" s="6" t="s">
        <x:v>259</x:v>
      </x:c>
      <x:c r="B15" s="6" t="s">
        <x:v>260</x:v>
      </x:c>
      <x:c r="C15" s="6" t="s">
        <x:v>261</x:v>
      </x:c>
      <x:c r="D15" s="6" t="s">
        <x:v>262</x:v>
      </x:c>
      <x:c r="E15" s="12" t="s">
        <x:v>56</x:v>
      </x:c>
      <x:c r="F15" s="15" t="s">
        <x:v>17</x:v>
      </x:c>
      <x:c r="G15" s="6" t="s">
        <x:v>263</x:v>
      </x:c>
      <x:c r="H15" s="6" t="s">
        <x:v>264</x:v>
      </x:c>
    </x:row>
    <x:row r="16" ht="33">
      <x:c r="A16" s="6" t="s">
        <x:v>265</x:v>
      </x:c>
      <x:c r="B16" s="6" t="s">
        <x:v>266</x:v>
      </x:c>
      <x:c r="C16" s="6" t="s">
        <x:v>267</x:v>
      </x:c>
      <x:c r="D16" s="6" t="s">
        <x:v>268</x:v>
      </x:c>
      <x:c r="E16" s="12" t="s">
        <x:v>56</x:v>
      </x:c>
      <x:c r="F16" s="18" t="s">
        <x:v>21</x:v>
      </x:c>
      <x:c r="G16" s="6" t="s">
        <x:v>269</x:v>
      </x:c>
      <x:c r="H16" s="6" t="s">
        <x:v>270</x:v>
      </x:c>
    </x:row>
    <x:row r="17" ht="16.5">
      <x:c r="A17" s="6" t="s">
        <x:v>271</x:v>
      </x:c>
      <x:c r="B17" s="6" t="s">
        <x:v>272</x:v>
      </x:c>
      <x:c r="C17" s="6" t="s">
        <x:v>273</x:v>
      </x:c>
      <x:c r="D17" s="6" t="s">
        <x:v>274</x:v>
      </x:c>
      <x:c r="E17" s="12" t="s">
        <x:v>56</x:v>
      </x:c>
      <x:c r="F17" s="15" t="s">
        <x:v>17</x:v>
      </x:c>
      <x:c r="G17" s="6" t="s">
        <x:v>275</x:v>
      </x:c>
      <x:c r="H17" s="6" t="s">
        <x:v>276</x:v>
      </x:c>
    </x:row>
    <x:row r="18" ht="16.5">
      <x:c r="A18" s="6" t="s">
        <x:v>277</x:v>
      </x:c>
      <x:c r="B18" s="6" t="s">
        <x:v>278</x:v>
      </x:c>
      <x:c r="C18" s="6" t="s">
        <x:v>279</x:v>
      </x:c>
      <x:c r="D18" s="6" t="s">
        <x:v>280</x:v>
      </x:c>
      <x:c r="E18" s="13" t="s">
        <x:v>281</x:v>
      </x:c>
      <x:c r="F18" s="18" t="s">
        <x:v>21</x:v>
      </x:c>
      <x:c r="G18" s="6" t="s">
        <x:v>282</x:v>
      </x:c>
      <x:c r="H18" s="6" t="s">
        <x:v>283</x:v>
      </x:c>
    </x:row>
    <x:row r="19" ht="33">
      <x:c r="A19" s="6" t="s">
        <x:v>284</x:v>
      </x:c>
      <x:c r="B19" s="6" t="s">
        <x:v>285</x:v>
      </x:c>
      <x:c r="C19" s="6" t="s">
        <x:v>286</x:v>
      </x:c>
      <x:c r="D19" s="6" t="s">
        <x:v>287</x:v>
      </x:c>
      <x:c r="E19" s="13" t="s">
        <x:v>281</x:v>
      </x:c>
      <x:c r="F19" s="15" t="s">
        <x:v>17</x:v>
      </x:c>
      <x:c r="G19" s="6" t="s">
        <x:v>224</x:v>
      </x:c>
      <x:c r="H19" s="6" t="s">
        <x:v>288</x:v>
      </x:c>
    </x:row>
    <x:row r="20" ht="16.5">
      <x:c r="A20" s="6" t="s">
        <x:v>289</x:v>
      </x:c>
      <x:c r="B20" s="6" t="s">
        <x:v>290</x:v>
      </x:c>
      <x:c r="C20" s="6" t="s">
        <x:v>291</x:v>
      </x:c>
      <x:c r="D20" s="6" t="s">
        <x:v>292</x:v>
      </x:c>
      <x:c r="E20" s="13" t="s">
        <x:v>281</x:v>
      </x:c>
      <x:c r="F20" s="15" t="s">
        <x:v>17</x:v>
      </x:c>
      <x:c r="G20" s="6" t="s">
        <x:v>282</x:v>
      </x:c>
      <x:c r="H20" s="6" t="s">
        <x:v>293</x:v>
      </x:c>
    </x:row>
    <x:row r="21" ht="16.5">
      <x:c r="A21" s="6" t="s">
        <x:v>294</x:v>
      </x:c>
      <x:c r="B21" s="6" t="s">
        <x:v>295</x:v>
      </x:c>
      <x:c r="C21" s="6" t="s">
        <x:v>296</x:v>
      </x:c>
      <x:c r="D21" s="6" t="s">
        <x:v>297</x:v>
      </x:c>
      <x:c r="E21" s="13" t="s">
        <x:v>281</x:v>
      </x:c>
      <x:c r="F21" s="18" t="s">
        <x:v>21</x:v>
      </x:c>
      <x:c r="G21" s="6" t="s">
        <x:v>252</x:v>
      </x:c>
      <x:c r="H21" s="6" t="s">
        <x:v>298</x:v>
      </x:c>
    </x:row>
    <x:row r="22" ht="16.5">
      <x:c r="A22" s="6" t="s">
        <x:v>299</x:v>
      </x:c>
      <x:c r="B22" s="6" t="s">
        <x:v>300</x:v>
      </x:c>
      <x:c r="C22" s="6" t="s">
        <x:v>301</x:v>
      </x:c>
      <x:c r="D22" s="6" t="s">
        <x:v>302</x:v>
      </x:c>
      <x:c r="E22" s="16" t="s">
        <x:v>303</x:v>
      </x:c>
      <x:c r="F22" s="15" t="s">
        <x:v>17</x:v>
      </x:c>
      <x:c r="G22" s="6" t="s">
        <x:v>304</x:v>
      </x:c>
      <x:c r="H22" s="6" t="s">
        <x:v>305</x:v>
      </x:c>
    </x:row>
    <x:row r="23" ht="16.5">
      <x:c r="A23" s="6" t="s">
        <x:v>306</x:v>
      </x:c>
      <x:c r="B23" s="6" t="s">
        <x:v>307</x:v>
      </x:c>
      <x:c r="C23" s="6" t="s">
        <x:v>308</x:v>
      </x:c>
      <x:c r="D23" s="6" t="s">
        <x:v>309</x:v>
      </x:c>
      <x:c r="E23" s="12" t="s">
        <x:v>56</x:v>
      </x:c>
      <x:c r="F23" s="15" t="s">
        <x:v>17</x:v>
      </x:c>
      <x:c r="G23" s="6" t="s">
        <x:v>310</x:v>
      </x:c>
      <x:c r="H23" s="6" t="s">
        <x:v>311</x:v>
      </x:c>
    </x:row>
    <x:row r="24" ht="16.5">
      <x:c r="A24" s="8" t="s">
        <x:v>312</x:v>
      </x:c>
      <x:c r="B24" s="8" t="s">
        <x:v>313</x:v>
      </x:c>
      <x:c r="C24" s="8" t="s">
        <x:v>314</x:v>
      </x:c>
      <x:c r="D24" s="8" t="s">
        <x:v>315</x:v>
      </x:c>
      <x:c r="E24" s="14" t="s">
        <x:v>56</x:v>
      </x:c>
      <x:c r="F24" s="19" t="s">
        <x:v>29</x:v>
      </x:c>
      <x:c r="G24" s="8" t="s">
        <x:v>316</x:v>
      </x:c>
      <x:c r="H24" s="8" t="s">
        <x:v>317</x:v>
      </x:c>
    </x:row>
    <x:row r="25">
      <x:c r="A25" t="str">
        <x:v>T-021</x:v>
      </x:c>
      <x:c r="B25" t="str">
        <x:v>图片理解</x:v>
      </x:c>
      <x:c r="C25" t="str">
        <x:v>统一图片识别入口并修复前端脚本语法</x:v>
      </x:c>
      <x:c r="D25" t="str">
        <x:v>确保按钮脚本可加载、请求真实发出，并避免旧/新服务行为不一致</x:v>
      </x:c>
      <x:c r="E25" t="str">
        <x:v>P0</x:v>
      </x:c>
      <x:c r="F25" t="str">
        <x:v>有缺陷</x:v>
      </x:c>
      <x:c r="G25" t="str">
        <x:v>后端</x:v>
      </x:c>
      <x:c r="H25" t="str">
        <x:v>Node语法检查通过；浏览器控制台无SyntaxError；按钮发出统一analyze请求</x:v>
      </x:c>
    </x:row>
    <x:row r="26">
      <x:c r="A26" t="str">
        <x:v>T-022</x:v>
      </x:c>
      <x:c r="B26" t="str">
        <x:v>事实证据</x:v>
      </x:c>
      <x:c r="C26" t="str">
        <x:v>修复图片事实关联 ProductFact/ProductFactSku</x:v>
      </x:c>
      <x:c r="D26" t="str">
        <x:v>让图片识别结果进入统一证据链</x:v>
      </x:c>
      <x:c r="E26" t="str">
        <x:v>P0</x:v>
      </x:c>
      <x:c r="F26" t="str">
        <x:v>有缺陷</x:v>
      </x:c>
      <x:c r="G26" t="str">
        <x:v>后端</x:v>
      </x:c>
      <x:c r="H26" t="str">
        <x:v>24 张图片结果可写入 ProductFactEvidence 并正确绑定 SKU</x:v>
      </x:c>
    </x:row>
    <x:row r="27">
      <x:c r="A27" t="str">
        <x:v>T-023</x:v>
      </x:c>
      <x:c r="B27" t="str">
        <x:v>图片理解</x:v>
      </x:c>
      <x:c r="C27" t="str">
        <x:v>本地图片加载、历史成功任务回填、批量进度与识别幂等</x:v>
      </x:c>
      <x:c r="D27" t="str">
        <x:v>支持本地相对路径并避免重复事实</x:v>
      </x:c>
      <x:c r="E27" t="str">
        <x:v>P0</x:v>
      </x:c>
      <x:c r="F27" t="str">
        <x:v>未开始</x:v>
      </x:c>
      <x:c r="G27" t="str">
        <x:v>后端+前端</x:v>
      </x:c>
      <x:c r="H27" t="str">
        <x:v>全量处理24张；历史ImageFact回填Evidence；失败有原因；重复运行默认跳过模型但不跳过证据修复</x:v>
      </x:c>
    </x:row>
    <x:row r="28">
      <x:c r="A28" t="str">
        <x:v>T-024</x:v>
      </x:c>
      <x:c r="B28" t="str">
        <x:v>商品理解</x:v>
      </x:c>
      <x:c r="C28" t="str">
        <x:v>生成跨品类产品详情聚合视图</x:v>
      </x:c>
      <x:c r="D28" t="str">
        <x:v>将网页和图片证据整理为可核对商品档案</x:v>
      </x:c>
      <x:c r="E28" t="str">
        <x:v>P0</x:v>
      </x:c>
      <x:c r="F28" t="str">
        <x:v>开发中</x:v>
      </x:c>
      <x:c r="G28" t="str">
        <x:v>后端+前端</x:v>
      </x:c>
      <x:c r="H28" t="str">
        <x:v>动态分组、证据计数、未知/冲突/完整度可见</x:v>
      </x:c>
    </x:row>
    <x:row r="29">
      <x:c r="A29" t="str">
        <x:v>T-025</x:v>
      </x:c>
      <x:c r="B29" t="str">
        <x:v>页面交互</x:v>
      </x:c>
      <x:c r="C29" t="str">
        <x:v>重构适配工作台宽屏布局</x:v>
      </x:c>
      <x:c r="D29" t="str">
        <x:v>解决网格错位、内容过窄和大面积空白</x:v>
      </x:c>
      <x:c r="E29" t="str">
        <x:v>P1</x:v>
      </x:c>
      <x:c r="F29" t="str">
        <x:v>有缺陷</x:v>
      </x:c>
      <x:c r="G29" t="str">
        <x:v>前端</x:v>
      </x:c>
      <x:c r="H29" t="str">
        <x:v>container-fluid；合法Bootstrap列；多分辨率布局通过</x:v>
      </x:c>
    </x:row>
  </x:sheetData>
  <x:mergeCells>
    <x:mergeCell ref="A1:H1"/>
    <x:mergeCell ref="A2:H2"/>
  </x:mergeCells>
  <x:dataValidations count="2">
    <x:dataValidation type="list" sqref="E5:E24">
      <x:formula1>"P0,P1,P2,P3"</x:formula1>
    </x:dataValidation>
    <x:dataValidation type="list" sqref="F5:F24">
      <x:formula1>"未开始,开发中,待验证,已完成,有缺陷,暂停"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70d121d7d549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0" customWidth="1"/>
    <x:col min="2" max="2" width="24" customWidth="1"/>
    <x:col min="3" max="3" width="32" customWidth="1"/>
    <x:col min="4" max="4" width="48" customWidth="1"/>
    <x:col min="5" max="5" width="30" customWidth="1"/>
    <x:col min="6" max="6" width="38" customWidth="1"/>
  </x:cols>
  <x:sheetData>
    <x:row r="1" ht="34" customHeight="1">
      <x:c r="A1" s="1" t="s">
        <x:v>318</x:v>
      </x:c>
      <x:c r="B1" s="1"/>
      <x:c r="C1" s="1"/>
      <x:c r="D1" s="1"/>
      <x:c r="E1" s="1"/>
      <x:c r="F1" s="1"/>
      <x:c r="G1" s="1"/>
    </x:row>
    <x:row r="2" ht="26" customHeight="1">
      <x:c r="A2" s="2" t="s">
        <x:v>319</x:v>
      </x:c>
      <x:c r="B2" s="2"/>
      <x:c r="C2" s="2"/>
      <x:c r="D2" s="2"/>
      <x:c r="E2" s="2"/>
      <x:c r="F2" s="2"/>
      <x:c r="G2" s="2"/>
    </x:row>
    <x:row r="3" ht="16.5">
      <x:c r="A3" s="3"/>
      <x:c r="B3" s="3"/>
      <x:c r="C3" s="3"/>
      <x:c r="D3" s="3"/>
      <x:c r="E3" s="3"/>
      <x:c r="F3" s="3"/>
      <x:c r="G3" s="3"/>
    </x:row>
    <x:row r="4" ht="28" customHeight="1">
      <x:c r="A4" s="4" t="s">
        <x:v>320</x:v>
      </x:c>
      <x:c r="B4" s="4" t="s">
        <x:v>321</x:v>
      </x:c>
      <x:c r="C4" s="4" t="s">
        <x:v>322</x:v>
      </x:c>
      <x:c r="D4" s="4" t="s">
        <x:v>323</x:v>
      </x:c>
      <x:c r="E4" s="4" t="s">
        <x:v>324</x:v>
      </x:c>
      <x:c r="F4" s="4" t="s">
        <x:v>325</x:v>
      </x:c>
      <x:c r="G4" s="3"/>
    </x:row>
    <x:row r="5" ht="16.5">
      <x:c r="A5" s="6" t="s">
        <x:v>18</x:v>
      </x:c>
      <x:c r="B5" s="6" t="s">
        <x:v>326</x:v>
      </x:c>
      <x:c r="C5" s="6" t="s">
        <x:v>327</x:v>
      </x:c>
      <x:c r="D5" s="6" t="s">
        <x:v>328</x:v>
      </x:c>
      <x:c r="E5" s="6" t="s">
        <x:v>329</x:v>
      </x:c>
      <x:c r="F5" s="6" t="s">
        <x:v>330</x:v>
      </x:c>
      <x:c r="G5" s="3"/>
    </x:row>
    <x:row r="6" ht="16.5">
      <x:c r="A6" s="6" t="s">
        <x:v>22</x:v>
      </x:c>
      <x:c r="B6" s="6" t="s">
        <x:v>331</x:v>
      </x:c>
      <x:c r="C6" s="6" t="s">
        <x:v>332</x:v>
      </x:c>
      <x:c r="D6" s="6" t="s">
        <x:v>333</x:v>
      </x:c>
      <x:c r="E6" s="6" t="s">
        <x:v>334</x:v>
      </x:c>
      <x:c r="F6" s="6" t="s">
        <x:v>335</x:v>
      </x:c>
      <x:c r="G6" s="3"/>
    </x:row>
    <x:row r="7" ht="16.5">
      <x:c r="A7" s="6" t="s">
        <x:v>26</x:v>
      </x:c>
      <x:c r="B7" s="6" t="s">
        <x:v>336</x:v>
      </x:c>
      <x:c r="C7" s="6" t="s">
        <x:v>337</x:v>
      </x:c>
      <x:c r="D7" s="6" t="s">
        <x:v>338</x:v>
      </x:c>
      <x:c r="E7" s="6" t="s">
        <x:v>339</x:v>
      </x:c>
      <x:c r="F7" s="6" t="s">
        <x:v>340</x:v>
      </x:c>
      <x:c r="G7" s="3"/>
    </x:row>
    <x:row r="8" ht="16.5">
      <x:c r="A8" s="6" t="s">
        <x:v>30</x:v>
      </x:c>
      <x:c r="B8" s="6" t="s">
        <x:v>239</x:v>
      </x:c>
      <x:c r="C8" s="6" t="s">
        <x:v>341</x:v>
      </x:c>
      <x:c r="D8" s="6" t="s">
        <x:v>342</x:v>
      </x:c>
      <x:c r="E8" s="6" t="s">
        <x:v>343</x:v>
      </x:c>
      <x:c r="F8" s="6" t="s">
        <x:v>344</x:v>
      </x:c>
      <x:c r="G8" s="3"/>
    </x:row>
    <x:row r="9" ht="16.5">
      <x:c r="A9" s="6" t="s">
        <x:v>34</x:v>
      </x:c>
      <x:c r="B9" s="6" t="s">
        <x:v>345</x:v>
      </x:c>
      <x:c r="C9" s="6" t="s">
        <x:v>346</x:v>
      </x:c>
      <x:c r="D9" s="6" t="s">
        <x:v>347</x:v>
      </x:c>
      <x:c r="E9" s="6" t="s">
        <x:v>348</x:v>
      </x:c>
      <x:c r="F9" s="6" t="s">
        <x:v>349</x:v>
      </x:c>
      <x:c r="G9" s="3"/>
    </x:row>
    <x:row r="10" ht="16.5">
      <x:c r="A10" s="6" t="s">
        <x:v>37</x:v>
      </x:c>
      <x:c r="B10" s="6" t="s">
        <x:v>350</x:v>
      </x:c>
      <x:c r="C10" s="6" t="s">
        <x:v>351</x:v>
      </x:c>
      <x:c r="D10" s="6" t="s">
        <x:v>352</x:v>
      </x:c>
      <x:c r="E10" s="6" t="s">
        <x:v>353</x:v>
      </x:c>
      <x:c r="F10" s="6" t="s">
        <x:v>354</x:v>
      </x:c>
      <x:c r="G10" s="3"/>
    </x:row>
    <x:row r="11" ht="16.5">
      <x:c r="A11" s="6" t="s">
        <x:v>355</x:v>
      </x:c>
      <x:c r="B11" s="6" t="s">
        <x:v>356</x:v>
      </x:c>
      <x:c r="C11" s="6" t="s">
        <x:v>357</x:v>
      </x:c>
      <x:c r="D11" s="6" t="s">
        <x:v>358</x:v>
      </x:c>
      <x:c r="E11" s="6" t="s">
        <x:v>359</x:v>
      </x:c>
      <x:c r="F11" s="6" t="s">
        <x:v>360</x:v>
      </x:c>
      <x:c r="G11" s="3"/>
    </x:row>
    <x:row r="12" ht="16.5">
      <x:c r="A12" s="6" t="s">
        <x:v>361</x:v>
      </x:c>
      <x:c r="B12" s="6" t="s">
        <x:v>362</x:v>
      </x:c>
      <x:c r="C12" s="6" t="s">
        <x:v>363</x:v>
      </x:c>
      <x:c r="D12" s="6" t="s">
        <x:v>364</x:v>
      </x:c>
      <x:c r="E12" s="6" t="s">
        <x:v>365</x:v>
      </x:c>
      <x:c r="F12" s="6" t="s">
        <x:v>366</x:v>
      </x:c>
      <x:c r="G12" s="3"/>
    </x:row>
    <x:row r="13" ht="16.5">
      <x:c r="A13" s="6" t="s">
        <x:v>367</x:v>
      </x:c>
      <x:c r="B13" s="6" t="s">
        <x:v>266</x:v>
      </x:c>
      <x:c r="C13" s="6" t="s">
        <x:v>368</x:v>
      </x:c>
      <x:c r="D13" s="6" t="s">
        <x:v>369</x:v>
      </x:c>
      <x:c r="E13" s="6" t="s">
        <x:v>370</x:v>
      </x:c>
      <x:c r="F13" s="6" t="s">
        <x:v>371</x:v>
      </x:c>
      <x:c r="G13" s="3"/>
    </x:row>
    <x:row r="14" ht="16.5">
      <x:c r="A14" s="6" t="s">
        <x:v>372</x:v>
      </x:c>
      <x:c r="B14" s="6" t="s">
        <x:v>278</x:v>
      </x:c>
      <x:c r="C14" s="6" t="s">
        <x:v>373</x:v>
      </x:c>
      <x:c r="D14" s="6" t="s">
        <x:v>374</x:v>
      </x:c>
      <x:c r="E14" s="6" t="s">
        <x:v>375</x:v>
      </x:c>
      <x:c r="F14" s="6" t="s">
        <x:v>376</x:v>
      </x:c>
      <x:c r="G14" s="3"/>
    </x:row>
    <x:row r="15" ht="16.5">
      <x:c r="A15" s="6" t="s">
        <x:v>377</x:v>
      </x:c>
      <x:c r="B15" s="6" t="s">
        <x:v>378</x:v>
      </x:c>
      <x:c r="C15" s="6" t="s">
        <x:v>379</x:v>
      </x:c>
      <x:c r="D15" s="6" t="s">
        <x:v>380</x:v>
      </x:c>
      <x:c r="E15" s="6" t="s">
        <x:v>381</x:v>
      </x:c>
      <x:c r="F15" s="6" t="s">
        <x:v>382</x:v>
      </x:c>
      <x:c r="G15" s="3"/>
    </x:row>
    <x:row r="16" ht="16.5">
      <x:c r="A16" s="6" t="s">
        <x:v>383</x:v>
      </x:c>
      <x:c r="B16" s="6" t="s">
        <x:v>384</x:v>
      </x:c>
      <x:c r="C16" s="6" t="s">
        <x:v>385</x:v>
      </x:c>
      <x:c r="D16" s="6" t="s">
        <x:v>386</x:v>
      </x:c>
      <x:c r="E16" s="6" t="s">
        <x:v>387</x:v>
      </x:c>
      <x:c r="F16" s="6" t="s">
        <x:v>388</x:v>
      </x:c>
      <x:c r="G16" s="3"/>
    </x:row>
    <x:row r="17" ht="16.5">
      <x:c r="A17" s="8" t="s">
        <x:v>389</x:v>
      </x:c>
      <x:c r="B17" s="8" t="s">
        <x:v>390</x:v>
      </x:c>
      <x:c r="C17" s="8" t="s">
        <x:v>391</x:v>
      </x:c>
      <x:c r="D17" s="8" t="s">
        <x:v>392</x:v>
      </x:c>
      <x:c r="E17" s="8" t="s">
        <x:v>393</x:v>
      </x:c>
      <x:c r="F17" s="8" t="s">
        <x:v>394</x:v>
      </x:c>
      <x:c r="G17" s="3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72b1da4229d41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2" customWidth="1"/>
    <x:col min="2" max="2" width="24" customWidth="1"/>
    <x:col min="3" max="3" width="40" customWidth="1"/>
    <x:col min="4" max="4" width="54" customWidth="1"/>
    <x:col min="5" max="5" width="22" customWidth="1"/>
    <x:col min="6" max="6" width="12" customWidth="1"/>
    <x:col min="7" max="7" width="10" customWidth="1"/>
    <x:col min="8" max="8" width="34" customWidth="1"/>
  </x:cols>
  <x:sheetData>
    <x:row r="1" ht="34" customHeight="1">
      <x:c r="A1" s="1" t="s">
        <x:v>395</x:v>
      </x:c>
      <x:c r="B1" s="1"/>
      <x:c r="C1" s="1"/>
      <x:c r="D1" s="1"/>
      <x:c r="E1" s="1"/>
      <x:c r="F1" s="1"/>
      <x:c r="G1" s="1"/>
      <x:c r="H1" s="1"/>
    </x:row>
    <x:row r="2" ht="26" customHeight="1">
      <x:c r="A2" s="2" t="s">
        <x:v>396</x:v>
      </x:c>
      <x:c r="B2" s="2"/>
      <x:c r="C2" s="2"/>
      <x:c r="D2" s="2"/>
      <x:c r="E2" s="2"/>
      <x:c r="F2" s="2"/>
      <x:c r="G2" s="2"/>
      <x:c r="H2" s="2"/>
    </x:row>
    <x:row r="3" ht="16.5">
      <x:c r="A3" s="3"/>
      <x:c r="B3" s="3"/>
      <x:c r="C3" s="3"/>
      <x:c r="D3" s="3"/>
      <x:c r="E3" s="3"/>
      <x:c r="F3" s="3"/>
      <x:c r="G3" s="3"/>
      <x:c r="H3" s="3"/>
    </x:row>
    <x:row r="4" ht="28" customHeight="1">
      <x:c r="A4" s="4" t="s">
        <x:v>397</x:v>
      </x:c>
      <x:c r="B4" s="4" t="s">
        <x:v>398</x:v>
      </x:c>
      <x:c r="C4" s="4" t="s">
        <x:v>399</x:v>
      </x:c>
      <x:c r="D4" s="4" t="s">
        <x:v>400</x:v>
      </x:c>
      <x:c r="E4" s="4" t="s">
        <x:v>401</x:v>
      </x:c>
      <x:c r="F4" s="4" t="s">
        <x:v>11</x:v>
      </x:c>
      <x:c r="G4" s="4" t="s">
        <x:v>200</x:v>
      </x:c>
      <x:c r="H4" s="4" t="s">
        <x:v>402</x:v>
      </x:c>
    </x:row>
    <x:row r="5" ht="33">
      <x:c r="A5" s="6" t="s">
        <x:v>403</x:v>
      </x:c>
      <x:c r="B5" s="6" t="s">
        <x:v>404</x:v>
      </x:c>
      <x:c r="C5" s="6" t="s">
        <x:v>405</x:v>
      </x:c>
      <x:c r="D5" s="6" t="s">
        <x:v>406</x:v>
      </x:c>
      <x:c r="E5" s="6" t="s">
        <x:v>407</x:v>
      </x:c>
      <x:c r="F5" s="15" t="s">
        <x:v>17</x:v>
      </x:c>
      <x:c r="G5" s="12" t="s">
        <x:v>56</x:v>
      </x:c>
      <x:c r="H5" s="6" t="s">
        <x:v>408</x:v>
      </x:c>
    </x:row>
    <x:row r="6" ht="16.5">
      <x:c r="A6" s="6" t="s">
        <x:v>403</x:v>
      </x:c>
      <x:c r="B6" s="6" t="s">
        <x:v>409</x:v>
      </x:c>
      <x:c r="C6" s="6" t="s">
        <x:v>410</x:v>
      </x:c>
      <x:c r="D6" s="6" t="s">
        <x:v>411</x:v>
      </x:c>
      <x:c r="E6" s="6" t="s">
        <x:v>412</x:v>
      </x:c>
      <x:c r="F6" s="15" t="s">
        <x:v>17</x:v>
      </x:c>
      <x:c r="G6" s="12" t="s">
        <x:v>56</x:v>
      </x:c>
      <x:c r="H6" s="6" t="s">
        <x:v>413</x:v>
      </x:c>
    </x:row>
    <x:row r="7" ht="16.5">
      <x:c r="A7" s="6" t="s">
        <x:v>403</x:v>
      </x:c>
      <x:c r="B7" s="6" t="s">
        <x:v>414</x:v>
      </x:c>
      <x:c r="C7" s="6" t="s">
        <x:v>415</x:v>
      </x:c>
      <x:c r="D7" s="6" t="s">
        <x:v>416</x:v>
      </x:c>
      <x:c r="E7" s="6" t="s">
        <x:v>417</x:v>
      </x:c>
      <x:c r="F7" s="15" t="s">
        <x:v>17</x:v>
      </x:c>
      <x:c r="G7" s="12" t="s">
        <x:v>56</x:v>
      </x:c>
      <x:c r="H7" s="6" t="s">
        <x:v>418</x:v>
      </x:c>
    </x:row>
    <x:row r="8" ht="16.5">
      <x:c r="A8" s="6" t="s">
        <x:v>403</x:v>
      </x:c>
      <x:c r="B8" s="6" t="s">
        <x:v>419</x:v>
      </x:c>
      <x:c r="C8" s="6" t="s">
        <x:v>420</x:v>
      </x:c>
      <x:c r="D8" s="6" t="s">
        <x:v>421</x:v>
      </x:c>
      <x:c r="E8" s="6" t="s">
        <x:v>422</x:v>
      </x:c>
      <x:c r="F8" s="15" t="s">
        <x:v>17</x:v>
      </x:c>
      <x:c r="G8" s="12" t="s">
        <x:v>56</x:v>
      </x:c>
      <x:c r="H8" s="6" t="s">
        <x:v>423</x:v>
      </x:c>
    </x:row>
    <x:row r="9" ht="16.5">
      <x:c r="A9" s="6" t="s">
        <x:v>403</x:v>
      </x:c>
      <x:c r="B9" s="6" t="s">
        <x:v>350</x:v>
      </x:c>
      <x:c r="C9" s="6" t="s">
        <x:v>424</x:v>
      </x:c>
      <x:c r="D9" s="6" t="s">
        <x:v>425</x:v>
      </x:c>
      <x:c r="E9" s="6" t="s">
        <x:v>426</x:v>
      </x:c>
      <x:c r="F9" s="15" t="s">
        <x:v>17</x:v>
      </x:c>
      <x:c r="G9" s="12" t="s">
        <x:v>56</x:v>
      </x:c>
      <x:c r="H9" s="6" t="s">
        <x:v>427</x:v>
      </x:c>
    </x:row>
    <x:row r="10" ht="16.5">
      <x:c r="A10" s="6" t="s">
        <x:v>428</x:v>
      </x:c>
      <x:c r="B10" s="6" t="s">
        <x:v>127</x:v>
      </x:c>
      <x:c r="C10" s="6" t="s">
        <x:v>429</x:v>
      </x:c>
      <x:c r="D10" s="6" t="s">
        <x:v>430</x:v>
      </x:c>
      <x:c r="E10" s="6" t="s">
        <x:v>431</x:v>
      </x:c>
      <x:c r="F10" s="15" t="s">
        <x:v>17</x:v>
      </x:c>
      <x:c r="G10" s="12" t="s">
        <x:v>56</x:v>
      </x:c>
      <x:c r="H10" s="6" t="s">
        <x:v>432</x:v>
      </x:c>
    </x:row>
    <x:row r="11" ht="16.5">
      <x:c r="A11" s="6" t="s">
        <x:v>428</x:v>
      </x:c>
      <x:c r="B11" s="6" t="s">
        <x:v>433</x:v>
      </x:c>
      <x:c r="C11" s="6" t="s">
        <x:v>434</x:v>
      </x:c>
      <x:c r="D11" s="6" t="s">
        <x:v>435</x:v>
      </x:c>
      <x:c r="E11" s="6" t="s">
        <x:v>436</x:v>
      </x:c>
      <x:c r="F11" s="16" t="s">
        <x:v>25</x:v>
      </x:c>
      <x:c r="G11" s="12" t="s">
        <x:v>56</x:v>
      </x:c>
      <x:c r="H11" s="6" t="s">
        <x:v>437</x:v>
      </x:c>
    </x:row>
    <x:row r="12" ht="16.5">
      <x:c r="A12" s="6" t="s">
        <x:v>428</x:v>
      </x:c>
      <x:c r="B12" s="6" t="s">
        <x:v>438</x:v>
      </x:c>
      <x:c r="C12" s="6" t="s">
        <x:v>439</x:v>
      </x:c>
      <x:c r="D12" s="6" t="s">
        <x:v>440</x:v>
      </x:c>
      <x:c r="E12" s="6" t="s">
        <x:v>441</x:v>
      </x:c>
      <x:c r="F12" s="15" t="s">
        <x:v>17</x:v>
      </x:c>
      <x:c r="G12" s="12" t="s">
        <x:v>56</x:v>
      </x:c>
      <x:c r="H12" s="6" t="s">
        <x:v>442</x:v>
      </x:c>
    </x:row>
    <x:row r="13" ht="16.5">
      <x:c r="A13" s="6" t="s">
        <x:v>281</x:v>
      </x:c>
      <x:c r="B13" s="6" t="s">
        <x:v>443</x:v>
      </x:c>
      <x:c r="C13" s="6" t="s">
        <x:v>444</x:v>
      </x:c>
      <x:c r="D13" s="6" t="s">
        <x:v>445</x:v>
      </x:c>
      <x:c r="E13" s="6" t="s">
        <x:v>446</x:v>
      </x:c>
      <x:c r="F13" s="16" t="s">
        <x:v>25</x:v>
      </x:c>
      <x:c r="G13" s="13" t="s">
        <x:v>281</x:v>
      </x:c>
      <x:c r="H13" s="6" t="s">
        <x:v>447</x:v>
      </x:c>
    </x:row>
    <x:row r="14" ht="16.5">
      <x:c r="A14" s="6" t="s">
        <x:v>281</x:v>
      </x:c>
      <x:c r="B14" s="6" t="s">
        <x:v>448</x:v>
      </x:c>
      <x:c r="C14" s="6" t="s">
        <x:v>449</x:v>
      </x:c>
      <x:c r="D14" s="6" t="s">
        <x:v>450</x:v>
      </x:c>
      <x:c r="E14" s="6" t="s">
        <x:v>451</x:v>
      </x:c>
      <x:c r="F14" s="15" t="s">
        <x:v>17</x:v>
      </x:c>
      <x:c r="G14" s="13" t="s">
        <x:v>281</x:v>
      </x:c>
      <x:c r="H14" s="6" t="s">
        <x:v>452</x:v>
      </x:c>
    </x:row>
    <x:row r="15" ht="16.5">
      <x:c r="A15" s="6" t="s">
        <x:v>281</x:v>
      </x:c>
      <x:c r="B15" s="6" t="s">
        <x:v>453</x:v>
      </x:c>
      <x:c r="C15" s="6" t="s">
        <x:v>454</x:v>
      </x:c>
      <x:c r="D15" s="6" t="s">
        <x:v>455</x:v>
      </x:c>
      <x:c r="E15" s="6" t="s">
        <x:v>456</x:v>
      </x:c>
      <x:c r="F15" s="15" t="s">
        <x:v>17</x:v>
      </x:c>
      <x:c r="G15" s="13" t="s">
        <x:v>281</x:v>
      </x:c>
      <x:c r="H15" s="6" t="s">
        <x:v>457</x:v>
      </x:c>
    </x:row>
    <x:row r="16" ht="16.5">
      <x:c r="A16" s="8" t="s">
        <x:v>458</x:v>
      </x:c>
      <x:c r="B16" s="8" t="s">
        <x:v>459</x:v>
      </x:c>
      <x:c r="C16" s="8" t="s">
        <x:v>460</x:v>
      </x:c>
      <x:c r="D16" s="8" t="s">
        <x:v>461</x:v>
      </x:c>
      <x:c r="E16" s="8" t="s">
        <x:v>462</x:v>
      </x:c>
      <x:c r="F16" s="17" t="s">
        <x:v>17</x:v>
      </x:c>
      <x:c r="G16" s="14" t="s">
        <x:v>56</x:v>
      </x:c>
      <x:c r="H16" s="8" t="s">
        <x:v>463</x:v>
      </x:c>
    </x:row>
    <x:row r="17">
      <x:c r="A17" t="str">
        <x:v>P0-C</x:v>
      </x:c>
      <x:c r="B17" t="str">
        <x:v>源图片读取</x:v>
      </x:c>
      <x:c r="C17" t="str">
        <x:v>站内相对URL和本地路径均可识别</x:v>
      </x:c>
      <x:c r="D17" t="str">
        <x:v>优先 local_path；24张图片逐图返回结果</x:v>
      </x:c>
      <x:c r="E17" t="str">
        <x:v>24张本地来源图</x:v>
      </x:c>
      <x:c r="F17" t="str">
        <x:v>有缺陷</x:v>
      </x:c>
      <x:c r="G17" t="str">
        <x:v>P0</x:v>
      </x:c>
      <x:c r="H17" t="str">
        <x:v>当前旧入口为0/24</x:v>
      </x:c>
    </x:row>
    <x:row r="18">
      <x:c r="A18" t="str">
        <x:v>P0-C</x:v>
      </x:c>
      <x:c r="B18" t="str">
        <x:v>图片证据入库</x:v>
      </x:c>
      <x:c r="C18" t="str">
        <x:v>视觉事实进入统一证据链</x:v>
      </x:c>
      <x:c r="D18" t="str">
        <x:v>ImageFact 与 ProductFactEvidence 数量和关联正确</x:v>
      </x:c>
      <x:c r="E18" t="str">
        <x:v>source_id=49</x:v>
      </x:c>
      <x:c r="F18" t="str">
        <x:v>有缺陷</x:v>
      </x:c>
      <x:c r="G18" t="str">
        <x:v>P0</x:v>
      </x:c>
      <x:c r="H18" t="str">
        <x:v>当前图片证据为0</x:v>
      </x:c>
    </x:row>
    <x:row r="19">
      <x:c r="A19" t="str">
        <x:v>P0-C</x:v>
      </x:c>
      <x:c r="B19" t="str">
        <x:v>识别幂等</x:v>
      </x:c>
      <x:c r="C19" t="str">
        <x:v>重复分析不制造重复事实</x:v>
      </x:c>
      <x:c r="D19" t="str">
        <x:v>相同图片+模型+Prompt默认跳过，可显式重跑修订</x:v>
      </x:c>
      <x:c r="E19" t="str">
        <x:v>连续执行2次</x:v>
      </x:c>
      <x:c r="F19" t="str">
        <x:v>未开始</x:v>
      </x:c>
      <x:c r="G19" t="str">
        <x:v>P0</x:v>
      </x:c>
      <x:c r="H19" t="str">
        <x:v>当前ImageFact重复</x:v>
      </x:c>
    </x:row>
    <x:row r="20">
      <x:c r="A20" t="str">
        <x:v>P1</x:v>
      </x:c>
      <x:c r="B20" t="str">
        <x:v>工作台布局</x:v>
      </x:c>
      <x:c r="C20" t="str">
        <x:v>宽屏和不同缩放比例下结构稳定</x:v>
      </x:c>
      <x:c r="D20" t="str">
        <x:v>无裸card作为row直接子元素；详情、事实、OZON区域清晰</x:v>
      </x:c>
      <x:c r="E20" t="str">
        <x:v>1366/1600/1920</x:v>
      </x:c>
      <x:c r="F20" t="str">
        <x:v>有缺陷</x:v>
      </x:c>
      <x:c r="G20" t="str">
        <x:v>P1</x:v>
      </x:c>
      <x:c r="H20" t="str">
        <x:v>当前网格被产品详情卡片破坏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3b580d8e60443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1" customWidth="1"/>
    <x:col min="2" max="2" width="10" customWidth="1"/>
    <x:col min="3" max="3" width="18" customWidth="1"/>
    <x:col min="4" max="4" width="40" customWidth="1"/>
    <x:col min="5" max="5" width="36" customWidth="1"/>
    <x:col min="6" max="6" width="50" customWidth="1"/>
    <x:col min="7" max="7" width="14" customWidth="1"/>
    <x:col min="8" max="8" width="32" customWidth="1"/>
  </x:cols>
  <x:sheetData>
    <x:row r="1" ht="34" customHeight="1">
      <x:c r="A1" s="1" t="s">
        <x:v>464</x:v>
      </x:c>
      <x:c r="B1" s="1"/>
      <x:c r="C1" s="1"/>
      <x:c r="D1" s="1"/>
      <x:c r="E1" s="1"/>
      <x:c r="F1" s="1"/>
      <x:c r="G1" s="1"/>
      <x:c r="H1" s="1"/>
    </x:row>
    <x:row r="2" ht="26" customHeight="1">
      <x:c r="A2" s="2" t="s">
        <x:v>465</x:v>
      </x:c>
      <x:c r="B2" s="2"/>
      <x:c r="C2" s="2"/>
      <x:c r="D2" s="2"/>
      <x:c r="E2" s="2"/>
      <x:c r="F2" s="2"/>
      <x:c r="G2" s="2"/>
      <x:c r="H2" s="2"/>
    </x:row>
    <x:row r="3" ht="16.5">
      <x:c r="A3" s="3"/>
      <x:c r="B3" s="3"/>
      <x:c r="C3" s="3"/>
      <x:c r="D3" s="3"/>
      <x:c r="E3" s="3"/>
      <x:c r="F3" s="3"/>
      <x:c r="G3" s="3"/>
      <x:c r="H3" s="3"/>
    </x:row>
    <x:row r="4" ht="28" customHeight="1">
      <x:c r="A4" s="4" t="s">
        <x:v>196</x:v>
      </x:c>
      <x:c r="B4" s="4" t="s">
        <x:v>200</x:v>
      </x:c>
      <x:c r="C4" s="4" t="s">
        <x:v>466</x:v>
      </x:c>
      <x:c r="D4" s="4" t="s">
        <x:v>467</x:v>
      </x:c>
      <x:c r="E4" s="4" t="s">
        <x:v>468</x:v>
      </x:c>
      <x:c r="F4" s="4" t="s">
        <x:v>469</x:v>
      </x:c>
      <x:c r="G4" s="4" t="s">
        <x:v>11</x:v>
      </x:c>
      <x:c r="H4" s="4" t="s">
        <x:v>470</x:v>
      </x:c>
    </x:row>
    <x:row r="5" ht="16.5">
      <x:c r="A5" s="6" t="s">
        <x:v>471</x:v>
      </x:c>
      <x:c r="B5" s="12" t="s">
        <x:v>56</x:v>
      </x:c>
      <x:c r="C5" s="6" t="s">
        <x:v>472</x:v>
      </x:c>
      <x:c r="D5" s="6" t="s">
        <x:v>473</x:v>
      </x:c>
      <x:c r="E5" s="6" t="s">
        <x:v>474</x:v>
      </x:c>
      <x:c r="F5" s="6" t="s">
        <x:v>475</x:v>
      </x:c>
      <x:c r="G5" s="6" t="s">
        <x:v>476</x:v>
      </x:c>
      <x:c r="H5" s="6" t="s">
        <x:v>477</x:v>
      </x:c>
    </x:row>
    <x:row r="6" ht="16.5">
      <x:c r="A6" s="6" t="s">
        <x:v>478</x:v>
      </x:c>
      <x:c r="B6" s="12" t="s">
        <x:v>56</x:v>
      </x:c>
      <x:c r="C6" s="6" t="s">
        <x:v>479</x:v>
      </x:c>
      <x:c r="D6" s="6" t="s">
        <x:v>480</x:v>
      </x:c>
      <x:c r="E6" s="6" t="s">
        <x:v>481</x:v>
      </x:c>
      <x:c r="F6" s="6" t="s">
        <x:v>482</x:v>
      </x:c>
      <x:c r="G6" s="6" t="s">
        <x:v>476</x:v>
      </x:c>
      <x:c r="H6" s="6" t="s">
        <x:v>483</x:v>
      </x:c>
    </x:row>
    <x:row r="7" ht="16.5">
      <x:c r="A7" s="6" t="s">
        <x:v>484</x:v>
      </x:c>
      <x:c r="B7" s="12" t="s">
        <x:v>56</x:v>
      </x:c>
      <x:c r="C7" s="6" t="s">
        <x:v>485</x:v>
      </x:c>
      <x:c r="D7" s="6" t="s">
        <x:v>486</x:v>
      </x:c>
      <x:c r="E7" s="6" t="s">
        <x:v>487</x:v>
      </x:c>
      <x:c r="F7" s="6" t="s">
        <x:v>488</x:v>
      </x:c>
      <x:c r="G7" s="6" t="s">
        <x:v>476</x:v>
      </x:c>
      <x:c r="H7" s="6" t="s">
        <x:v>489</x:v>
      </x:c>
    </x:row>
    <x:row r="8" ht="16.5">
      <x:c r="A8" s="6" t="s">
        <x:v>490</x:v>
      </x:c>
      <x:c r="B8" s="12" t="s">
        <x:v>56</x:v>
      </x:c>
      <x:c r="C8" s="6" t="s">
        <x:v>491</x:v>
      </x:c>
      <x:c r="D8" s="6" t="s">
        <x:v>492</x:v>
      </x:c>
      <x:c r="E8" s="6" t="s">
        <x:v>493</x:v>
      </x:c>
      <x:c r="F8" s="6" t="s">
        <x:v>494</x:v>
      </x:c>
      <x:c r="G8" s="6" t="s">
        <x:v>476</x:v>
      </x:c>
      <x:c r="H8" s="6" t="s">
        <x:v>495</x:v>
      </x:c>
    </x:row>
    <x:row r="9" ht="16.5">
      <x:c r="A9" s="6" t="s">
        <x:v>496</x:v>
      </x:c>
      <x:c r="B9" s="12" t="s">
        <x:v>56</x:v>
      </x:c>
      <x:c r="C9" s="6" t="s">
        <x:v>497</x:v>
      </x:c>
      <x:c r="D9" s="6" t="s">
        <x:v>498</x:v>
      </x:c>
      <x:c r="E9" s="6" t="s">
        <x:v>499</x:v>
      </x:c>
      <x:c r="F9" s="6" t="s">
        <x:v>500</x:v>
      </x:c>
      <x:c r="G9" s="6" t="s">
        <x:v>476</x:v>
      </x:c>
      <x:c r="H9" s="6" t="s">
        <x:v>501</x:v>
      </x:c>
    </x:row>
    <x:row r="10" ht="16.5">
      <x:c r="A10" s="6" t="s">
        <x:v>502</x:v>
      </x:c>
      <x:c r="B10" s="12" t="s">
        <x:v>56</x:v>
      </x:c>
      <x:c r="C10" s="6" t="s">
        <x:v>503</x:v>
      </x:c>
      <x:c r="D10" s="6" t="s">
        <x:v>504</x:v>
      </x:c>
      <x:c r="E10" s="6" t="s">
        <x:v>505</x:v>
      </x:c>
      <x:c r="F10" s="6" t="s">
        <x:v>506</x:v>
      </x:c>
      <x:c r="G10" s="6" t="s">
        <x:v>507</x:v>
      </x:c>
      <x:c r="H10" s="6" t="s">
        <x:v>508</x:v>
      </x:c>
    </x:row>
    <x:row r="11" ht="16.5">
      <x:c r="A11" s="6" t="s">
        <x:v>509</x:v>
      </x:c>
      <x:c r="B11" s="12" t="s">
        <x:v>56</x:v>
      </x:c>
      <x:c r="C11" s="6" t="s">
        <x:v>510</x:v>
      </x:c>
      <x:c r="D11" s="6" t="s">
        <x:v>511</x:v>
      </x:c>
      <x:c r="E11" s="6" t="s">
        <x:v>512</x:v>
      </x:c>
      <x:c r="F11" s="6" t="s">
        <x:v>513</x:v>
      </x:c>
      <x:c r="G11" s="6" t="s">
        <x:v>476</x:v>
      </x:c>
      <x:c r="H11" s="6" t="s">
        <x:v>514</x:v>
      </x:c>
    </x:row>
    <x:row r="12" ht="16.5">
      <x:c r="A12" s="6" t="s">
        <x:v>515</x:v>
      </x:c>
      <x:c r="B12" s="13" t="s">
        <x:v>281</x:v>
      </x:c>
      <x:c r="C12" s="6" t="s">
        <x:v>516</x:v>
      </x:c>
      <x:c r="D12" s="6" t="s">
        <x:v>517</x:v>
      </x:c>
      <x:c r="E12" s="6" t="s">
        <x:v>518</x:v>
      </x:c>
      <x:c r="F12" s="6" t="s">
        <x:v>519</x:v>
      </x:c>
      <x:c r="G12" s="6" t="s">
        <x:v>507</x:v>
      </x:c>
      <x:c r="H12" s="6" t="s">
        <x:v>520</x:v>
      </x:c>
    </x:row>
    <x:row r="13" ht="16.5">
      <x:c r="A13" s="6" t="s">
        <x:v>521</x:v>
      </x:c>
      <x:c r="B13" s="13" t="s">
        <x:v>281</x:v>
      </x:c>
      <x:c r="C13" s="6" t="s">
        <x:v>522</x:v>
      </x:c>
      <x:c r="D13" s="6" t="s">
        <x:v>523</x:v>
      </x:c>
      <x:c r="E13" s="6" t="s">
        <x:v>524</x:v>
      </x:c>
      <x:c r="F13" s="6" t="s">
        <x:v>525</x:v>
      </x:c>
      <x:c r="G13" s="6" t="s">
        <x:v>476</x:v>
      </x:c>
      <x:c r="H13" s="6" t="s">
        <x:v>526</x:v>
      </x:c>
    </x:row>
    <x:row r="14" ht="16.5">
      <x:c r="A14" s="6" t="s">
        <x:v>527</x:v>
      </x:c>
      <x:c r="B14" s="13" t="s">
        <x:v>281</x:v>
      </x:c>
      <x:c r="C14" s="6" t="s">
        <x:v>528</x:v>
      </x:c>
      <x:c r="D14" s="6" t="s">
        <x:v>529</x:v>
      </x:c>
      <x:c r="E14" s="6" t="s">
        <x:v>530</x:v>
      </x:c>
      <x:c r="F14" s="6" t="s">
        <x:v>531</x:v>
      </x:c>
      <x:c r="G14" s="6" t="s">
        <x:v>532</x:v>
      </x:c>
      <x:c r="H14" s="6" t="s">
        <x:v>533</x:v>
      </x:c>
    </x:row>
    <x:row r="15" ht="16.5">
      <x:c r="A15" s="8" t="s">
        <x:v>534</x:v>
      </x:c>
      <x:c r="B15" s="14" t="s">
        <x:v>56</x:v>
      </x:c>
      <x:c r="C15" s="8" t="s">
        <x:v>535</x:v>
      </x:c>
      <x:c r="D15" s="8" t="s">
        <x:v>536</x:v>
      </x:c>
      <x:c r="E15" s="8" t="s">
        <x:v>537</x:v>
      </x:c>
      <x:c r="F15" s="8" t="s">
        <x:v>538</x:v>
      </x:c>
      <x:c r="G15" s="8" t="s">
        <x:v>476</x:v>
      </x:c>
      <x:c r="H15" s="8" t="s">
        <x:v>539</x:v>
      </x:c>
    </x:row>
    <x:row r="16">
      <x:c r="A16" t="str">
        <x:v>D-012</x:v>
      </x:c>
      <x:c r="B16" t="str">
        <x:v>P0</x:v>
      </x:c>
      <x:c r="C16" t="str">
        <x:v>识别架构</x:v>
      </x:c>
      <x:c r="D16" t="str">
        <x:v>旧/新两套图片识别流程并存</x:v>
      </x:c>
      <x:c r="E16" t="str">
        <x:v>按钮结果不一致、重复数据、难维护</x:v>
      </x:c>
      <x:c r="F16" t="str">
        <x:v>统一到 services.vision_tool，旧接口只做代理或删除</x:v>
      </x:c>
      <x:c r="G16" t="str">
        <x:v>待实施</x:v>
      </x:c>
      <x:c r="H16" t="str">
        <x:v>禁止继续维护两套Prompt与入库逻辑</x:v>
      </x:c>
    </x:row>
    <x:row r="17">
      <x:c r="A17" t="str">
        <x:v>D-013</x:v>
      </x:c>
      <x:c r="B17" t="str">
        <x:v>P0</x:v>
      </x:c>
      <x:c r="C17" t="str">
        <x:v>数据关联</x:v>
      </x:c>
      <x:c r="D17" t="str">
        <x:v>ProductFact.source_id 不存在且异常被吞掉</x:v>
      </x:c>
      <x:c r="E17" t="str">
        <x:v>模型成功但图片证据无法进入Product Brief</x:v>
      </x:c>
      <x:c r="F17" t="str">
        <x:v>通过group/item解析fact；禁止空except</x:v>
      </x:c>
      <x:c r="G17" t="str">
        <x:v>待实施</x:v>
      </x:c>
      <x:c r="H17" t="str">
        <x:v>错误写入ImageAnalysisJob</x:v>
      </x:c>
    </x:row>
    <x:row r="18">
      <x:c r="A18" t="str">
        <x:v>D-014</x:v>
      </x:c>
      <x:c r="B18" t="str">
        <x:v>P1</x:v>
      </x:c>
      <x:c r="C18" t="str">
        <x:v>页面布局</x:v>
      </x:c>
      <x:c r="D18" t="str">
        <x:v>产品详情裸card插入Bootstrap row</x:v>
      </x:c>
      <x:c r="E18" t="str">
        <x:v>三栏错位、宽屏空白、可读性差</x:v>
      </x:c>
      <x:c r="F18" t="str">
        <x:v>container-fluid + 合法嵌套row/col</x:v>
      </x:c>
      <x:c r="G18" t="str">
        <x:v>待实施</x:v>
      </x:c>
      <x:c r="H18" t="str">
        <x:v>详情作为右侧全宽主视图</x:v>
      </x:c>
    </x:row>
    <x:row r="19">
      <x:c r="A19" t="str">
        <x:v>D-015</x:v>
      </x:c>
      <x:c r="B19" t="str">
        <x:v>P0</x:v>
      </x:c>
      <x:c r="C19" t="str">
        <x:v>历史数据迁移</x:v>
      </x:c>
      <x:c r="D19" t="str">
        <x:v>已有成功ImageAnalysisJob被新服务跳过，但对应ProductFactEvidence缺失</x:v>
      </x:c>
      <x:c r="E19" t="str">
        <x:v>模型识别成功却永久无法进入产品详情</x:v>
      </x:c>
      <x:c r="F19" t="str">
        <x:v>跳过付费调用前先检查并回填历史ImageFact/parsed_json到证据层</x:v>
      </x:c>
      <x:c r="G19" t="str">
        <x:v>待实施</x:v>
      </x:c>
      <x:c r="H19" t="str">
        <x:v>增加幂等backfill服务及回归测试</x:v>
      </x:c>
    </x:row>
    <x:row r="20">
      <x:c r="A20" t="str">
        <x:v>D-016</x:v>
      </x:c>
      <x:c r="B20" t="str">
        <x:v>P0</x:v>
      </x:c>
      <x:c r="C20" t="str">
        <x:v>前端质量</x:v>
      </x:c>
      <x:c r="D20" t="str">
        <x:v>模板JavaScript包含多余闭合符和非法多行字符串，导致整段脚本无法加载</x:v>
      </x:c>
      <x:c r="E20" t="str">
        <x:v>AI识别、保存、审核等页面按钮全部可能无反应</x:v>
      </x:c>
      <x:c r="F20" t="str">
        <x:v>提交前强制执行模板脚本语法检查、控制台检查和按钮冒烟测试</x:v>
      </x:c>
      <x:c r="G20" t="str">
        <x:v>待实施</x:v>
      </x:c>
      <x:c r="H20" t="str">
        <x:v>禁止依赖隐式全局event；关键按钮使用稳定ID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7f58a4bb3134a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2" width="14" customWidth="1"/>
    <x:col min="3" max="3" width="16" customWidth="1"/>
    <x:col min="4" max="4" width="42" customWidth="1"/>
    <x:col min="5" max="5" width="58" customWidth="1"/>
    <x:col min="6" max="7" width="38" customWidth="1"/>
    <x:col min="8" max="8" width="14" customWidth="1"/>
    <x:col min="9" max="9" width="16" customWidth="1"/>
    <x:col min="10" max="10" width="34" customWidth="1"/>
  </x:cols>
  <x:sheetData>
    <x:row r="1" ht="34" customHeight="1">
      <x:c r="A1" s="1" t="s">
        <x:v>540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6" customHeight="1">
      <x:c r="A2" s="2" t="s">
        <x:v>541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16.5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8" customHeight="1">
      <x:c r="A4" s="4" t="s">
        <x:v>542</x:v>
      </x:c>
      <x:c r="B4" s="4" t="s">
        <x:v>543</x:v>
      </x:c>
      <x:c r="C4" s="4" t="s">
        <x:v>544</x:v>
      </x:c>
      <x:c r="D4" s="4" t="s">
        <x:v>545</x:v>
      </x:c>
      <x:c r="E4" s="4" t="s">
        <x:v>546</x:v>
      </x:c>
      <x:c r="F4" s="4" t="s">
        <x:v>547</x:v>
      </x:c>
      <x:c r="G4" s="4" t="s">
        <x:v>548</x:v>
      </x:c>
      <x:c r="H4" s="4" t="s">
        <x:v>11</x:v>
      </x:c>
      <x:c r="I4" s="4" t="s">
        <x:v>549</x:v>
      </x:c>
      <x:c r="J4" s="4" t="s">
        <x:v>402</x:v>
      </x:c>
    </x:row>
    <x:row r="5" ht="33">
      <x:c r="A5" s="5">
        <x:v>46198</x:v>
      </x:c>
      <x:c r="B5" s="6" t="s">
        <x:v>550</x:v>
      </x:c>
      <x:c r="C5" s="6" t="s">
        <x:v>551</x:v>
      </x:c>
      <x:c r="D5" s="6" t="s">
        <x:v>552</x:v>
      </x:c>
      <x:c r="E5" s="6" t="s">
        <x:v>553</x:v>
      </x:c>
      <x:c r="F5" s="6" t="s">
        <x:v>554</x:v>
      </x:c>
      <x:c r="G5" s="6" t="s">
        <x:v>555</x:v>
      </x:c>
      <x:c r="H5" s="6" t="s">
        <x:v>29</x:v>
      </x:c>
      <x:c r="I5" s="6" t="s">
        <x:v>556</x:v>
      </x:c>
      <x:c r="J5" s="6" t="s">
        <x:v>557</x:v>
      </x:c>
    </x:row>
    <x:row r="6" ht="16.5">
      <x:c r="A6" s="32" t="n">
        <x:v>46198</x:v>
      </x:c>
      <x:c r="B6" s="8" t="str">
        <x:v>ISSUE-001</x:v>
      </x:c>
      <x:c r="C6" s="8" t="str">
        <x:v>缺陷分析</x:v>
      </x:c>
      <x:c r="D6" s="8" t="str">
        <x:v>源图片识别0/24、图片证据未进入商品档案、适配工作台布局错位</x:v>
      </x:c>
      <x:c r="E6" s="8" t="str">
        <x:v>确认旧入口无法读取相对URL；新服务引用不存在的ProductFact.source_id；异常被静默吞掉；产品详情裸card破坏Bootstrap网格。形成统一识别、事实关联、幂等和布局重构方案。</x:v>
      </x:c>
      <x:c r="F6" s="8" t="str">
        <x:v>blueprints/ozon.py; services/vision_tool.py; services/product_fact_service.py; templates/ozon/adaptation_workspace.html; templates/base.html</x:v>
      </x:c>
      <x:c r="G6" s="8" t="str">
        <x:v>数据库只读核对：24张媒体、20条ImageFact、13条文本Evidence、0条图片Evidence；截图复核</x:v>
      </x:c>
      <x:c r="H6" s="8" t="str">
        <x:v>有缺陷</x:v>
      </x:c>
      <x:c r="I6" s="8" t="str">
        <x:v>Codex</x:v>
      </x:c>
      <x:c r="J6" s="8" t="str">
        <x:v>仅分析并记录，代码修复尚未实施</x:v>
      </x:c>
    </x:row>
    <x:row r="7" ht="16.5">
      <x:c r="A7" s="33" t="n">
        <x:v>46198</x:v>
      </x:c>
      <x:c r="B7" s="3" t="str">
        <x:v>ISSUE-002</x:v>
      </x:c>
      <x:c r="C7" s="3" t="str">
        <x:v>缺陷复查</x:v>
      </x:c>
      <x:c r="D7" s="3" t="str">
        <x:v>首次修复后仍返回0/24，产品详情仍无图片证据，页面首屏右侧大面积空白</x:v>
      </x:c>
      <x:c r="E7" s="3" t="str">
        <x:v>确认旧按钮/旧路由未删除；历史success任务被直接skip但未回填Evidence；base仍为container；产品详情仍是row下裸card。要求合并入口、历史回填和真正重构DOM网格。</x:v>
      </x:c>
      <x:c r="F7" s="3" t="str">
        <x:v>blueprints/ozon.py; services/vision_tool.py; templates/ozon/adaptation_workspace.html; templates/base.html</x:v>
      </x:c>
      <x:c r="G7" s="3" t="str">
        <x:v>数据库：20条ImageFact、10张成功图片、图片Evidence=0；最新截图与源码复查</x:v>
      </x:c>
      <x:c r="H7" s="3" t="str">
        <x:v>有缺陷</x:v>
      </x:c>
      <x:c r="I7" s="3" t="str">
        <x:v>Codex</x:v>
      </x:c>
      <x:c r="J7" s="3" t="str">
        <x:v>提交信息与实际实现不一致，需二次修复并以浏览器截图验收</x:v>
      </x:c>
    </x:row>
    <x:row r="8" ht="25" customHeight="1">
      <x:c r="A8" s="36" t="str">
        <x:v>每次改动必须填写的最小信息</x:v>
      </x:c>
      <x:c r="B8" s="36"/>
      <x:c r="C8" s="36"/>
      <x:c r="D8" s="36"/>
      <x:c r="E8" s="36"/>
      <x:c r="F8" s="36"/>
      <x:c r="G8" s="36"/>
      <x:c r="H8" s="36"/>
      <x:c r="I8" s="36"/>
      <x:c r="J8" s="36"/>
    </x:row>
    <x:row r="9" ht="16.5">
      <x:c r="A9" s="10" t="s">
        <x:v>558</x:v>
      </x:c>
      <x:c r="B9" s="11" t="s">
        <x:v>559</x:v>
      </x:c>
      <x:c r="C9" s="11" t="s">
        <x:v>16</x:v>
      </x:c>
      <x:c r="D9" s="11" t="s">
        <x:v>16</x:v>
      </x:c>
      <x:c r="E9" s="11" t="s">
        <x:v>16</x:v>
      </x:c>
      <x:c r="F9" s="11" t="s">
        <x:v>16</x:v>
      </x:c>
      <x:c r="G9" s="11" t="s">
        <x:v>16</x:v>
      </x:c>
      <x:c r="H9" s="11" t="s">
        <x:v>16</x:v>
      </x:c>
      <x:c r="I9" s="11" t="s">
        <x:v>16</x:v>
      </x:c>
      <x:c r="J9" s="11" t="s">
        <x:v>16</x:v>
      </x:c>
    </x:row>
    <x:row r="10" ht="16.5">
      <x:c r="A10" s="10" t="s">
        <x:v>560</x:v>
      </x:c>
      <x:c r="B10" s="11" t="s">
        <x:v>561</x:v>
      </x:c>
      <x:c r="C10" s="11" t="s">
        <x:v>16</x:v>
      </x:c>
      <x:c r="D10" s="11" t="s">
        <x:v>16</x:v>
      </x:c>
      <x:c r="E10" s="11" t="s">
        <x:v>16</x:v>
      </x:c>
      <x:c r="F10" s="11" t="s">
        <x:v>16</x:v>
      </x:c>
      <x:c r="G10" s="11" t="s">
        <x:v>16</x:v>
      </x:c>
      <x:c r="H10" s="11" t="s">
        <x:v>16</x:v>
      </x:c>
      <x:c r="I10" s="11" t="s">
        <x:v>16</x:v>
      </x:c>
      <x:c r="J10" s="11" t="s">
        <x:v>16</x:v>
      </x:c>
    </x:row>
    <x:row r="11" ht="16.5">
      <x:c r="A11" s="10" t="s">
        <x:v>562</x:v>
      </x:c>
      <x:c r="B11" s="11" t="s">
        <x:v>563</x:v>
      </x:c>
      <x:c r="C11" s="11" t="s">
        <x:v>16</x:v>
      </x:c>
      <x:c r="D11" s="11" t="s">
        <x:v>16</x:v>
      </x:c>
      <x:c r="E11" s="11" t="s">
        <x:v>16</x:v>
      </x:c>
      <x:c r="F11" s="11" t="s">
        <x:v>16</x:v>
      </x:c>
      <x:c r="G11" s="11" t="s">
        <x:v>16</x:v>
      </x:c>
      <x:c r="H11" s="11" t="s">
        <x:v>16</x:v>
      </x:c>
      <x:c r="I11" s="11" t="s">
        <x:v>16</x:v>
      </x:c>
      <x:c r="J11" s="11" t="s">
        <x:v>16</x:v>
      </x:c>
    </x:row>
    <x:row r="12" ht="16.5">
      <x:c r="A12" s="10" t="s">
        <x:v>47</x:v>
      </x:c>
      <x:c r="B12" s="11" t="s">
        <x:v>564</x:v>
      </x:c>
      <x:c r="C12" s="11" t="s">
        <x:v>16</x:v>
      </x:c>
      <x:c r="D12" s="11" t="s">
        <x:v>16</x:v>
      </x:c>
      <x:c r="E12" s="11" t="s">
        <x:v>16</x:v>
      </x:c>
      <x:c r="F12" s="11" t="s">
        <x:v>16</x:v>
      </x:c>
      <x:c r="G12" s="11" t="s">
        <x:v>16</x:v>
      </x:c>
      <x:c r="H12" s="11" t="s">
        <x:v>16</x:v>
      </x:c>
      <x:c r="I12" s="11" t="s">
        <x:v>16</x:v>
      </x:c>
      <x:c r="J12" s="11" t="s">
        <x:v>16</x:v>
      </x:c>
    </x:row>
    <x:row r="13">
      <x:c r="A13" s="43" t="n">
        <x:v>46199</x:v>
      </x:c>
      <x:c r="B13" s="44" t="str">
        <x:v>ISSUE-003</x:v>
      </x:c>
      <x:c r="C13" s="44" t="str">
        <x:v>缺陷复查</x:v>
      </x:c>
      <x:c r="D13" s="44" t="str">
        <x:v>点击AI识别图片按钮完全无反应</x:v>
      </x:c>
      <x:c r="E13" s="44" t="str">
        <x:v>定位到adaptation_workspace.html整段脚本语法失败：analyzeImages多余的});；analyzeProductFacts使用非法跨行单引号字符串；同时依赖隐式全局event。另发现api_merge_fact路由装饰器缺失。</x:v>
      </x:c>
      <x:c r="F13" s="44" t="str">
        <x:v>templates/ozon/adaptation_workspace.html; blueprints/ozon.py; services/product_fact_service.py</x:v>
      </x:c>
      <x:c r="G13" s="44" t="str">
        <x:v>Node模板脚本静态检查返回 SyntaxError: Unexpected token ')'；源码行号复核</x:v>
      </x:c>
      <x:c r="H13" s="44" t="str">
        <x:v>有缺陷</x:v>
      </x:c>
      <x:c r="I13" s="44" t="str">
        <x:v>Codex</x:v>
      </x:c>
      <x:c r="J13" s="44" t="str">
        <x:v>仅完成诊断和文档记录，业务代码尚未修复</x:v>
      </x:c>
    </x:row>
  </x:sheetData>
  <x:mergeCells>
    <x:mergeCell ref="A1:J1"/>
    <x:mergeCell ref="A2:J2"/>
    <x:mergeCell ref="A8:J8"/>
    <x:mergeCell ref="B9:J9"/>
    <x:mergeCell ref="B10:J10"/>
    <x:mergeCell ref="B11:J11"/>
    <x:mergeCell ref="B12:J12"/>
  </x:mergeCells>
  <x:dataValidations count="2">
    <x:dataValidation type="list" sqref="C5:C200">
      <x:formula1>"需求基线,需求变更,新增功能,缺陷修复,数据模型,页面交互,Prompt/规则,模型配置,测试验收,文档更新"</x:formula1>
    </x:dataValidation>
    <x:dataValidation type="list" sqref="H5:H200">
      <x:formula1>"未开始,开发中,待验证,已完成,有缺陷,回滚"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38604af29c4399"/>
  </x:tableParts>
</x:worksheet>
</file>